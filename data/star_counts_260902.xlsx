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/Desktop/"/>
    </mc:Choice>
  </mc:AlternateContent>
  <xr:revisionPtr revIDLastSave="0" documentId="8_{0BED243F-A88F-1940-8A8D-0EDDAD8430C9}" xr6:coauthVersionLast="47" xr6:coauthVersionMax="47" xr10:uidLastSave="{00000000-0000-0000-0000-000000000000}"/>
  <bookViews>
    <workbookView xWindow="0" yWindow="660" windowWidth="30240" windowHeight="17820" xr2:uid="{D929E839-2B23-E141-98F6-2C625DDC9725}"/>
  </bookViews>
  <sheets>
    <sheet name="data" sheetId="1" r:id="rId1"/>
    <sheet name="metadata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7" i="1"/>
  <c r="W18" i="1"/>
  <c r="W19" i="1"/>
  <c r="W20" i="1"/>
  <c r="W21" i="1"/>
  <c r="W2" i="1"/>
  <c r="M11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" i="1"/>
  <c r="L12" i="1"/>
  <c r="L3" i="1"/>
  <c r="L4" i="1"/>
  <c r="L5" i="1"/>
  <c r="L6" i="1"/>
  <c r="L7" i="1"/>
  <c r="L8" i="1"/>
  <c r="L9" i="1"/>
  <c r="L10" i="1"/>
  <c r="L11" i="1"/>
  <c r="L13" i="1"/>
  <c r="L14" i="1"/>
  <c r="L15" i="1"/>
  <c r="L16" i="1"/>
  <c r="L17" i="1"/>
  <c r="L18" i="1"/>
  <c r="L19" i="1"/>
  <c r="L20" i="1"/>
  <c r="L21" i="1"/>
  <c r="L2" i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4" i="1"/>
  <c r="V4" i="1" s="1"/>
  <c r="U3" i="1"/>
  <c r="V3" i="1" s="1"/>
  <c r="U5" i="1"/>
  <c r="V5" i="1" s="1"/>
  <c r="U6" i="1"/>
  <c r="V6" i="1" s="1"/>
  <c r="U7" i="1"/>
  <c r="V7" i="1" s="1"/>
  <c r="U2" i="1"/>
  <c r="V2" i="1" s="1"/>
</calcChain>
</file>

<file path=xl/sharedStrings.xml><?xml version="1.0" encoding="utf-8"?>
<sst xmlns="http://schemas.openxmlformats.org/spreadsheetml/2006/main" count="152" uniqueCount="94">
  <si>
    <t>diver2</t>
  </si>
  <si>
    <t>transect_id</t>
  </si>
  <si>
    <t>swath_area_star</t>
  </si>
  <si>
    <t>swath_area_patiria</t>
  </si>
  <si>
    <t>Taradash</t>
  </si>
  <si>
    <t>Donald</t>
  </si>
  <si>
    <t>luca39_2022-07-11_t1</t>
  </si>
  <si>
    <t>Persad</t>
  </si>
  <si>
    <t>Hodder</t>
  </si>
  <si>
    <t>luca51_2022-07-11_t1</t>
  </si>
  <si>
    <t>mont71_2022-07-11_t1</t>
  </si>
  <si>
    <t>char95_2022-07-12_t1</t>
  </si>
  <si>
    <t>davi89_2022-07-12_t1</t>
  </si>
  <si>
    <t>davi90_2022-07-12_t1</t>
  </si>
  <si>
    <t>Schnurle</t>
  </si>
  <si>
    <t>hms070_2022-07-18_t1</t>
  </si>
  <si>
    <t>hms100_2022-07-18_t1</t>
  </si>
  <si>
    <t>ottrpt_2022-07-18_t1</t>
  </si>
  <si>
    <t>ottrpt_2022-07-18_t2</t>
  </si>
  <si>
    <t>ottrpt_2022-07-18_t3</t>
  </si>
  <si>
    <t>Fairlie</t>
  </si>
  <si>
    <t>Duda</t>
  </si>
  <si>
    <t>hms150_2023-07-14_t1</t>
  </si>
  <si>
    <t>Wallace</t>
  </si>
  <si>
    <t>hms050_2023-07-14_t1</t>
  </si>
  <si>
    <t>Mattioli</t>
  </si>
  <si>
    <t>cabr77_2023-07-18_t1</t>
  </si>
  <si>
    <t>davi86_2023-07-18_t2</t>
  </si>
  <si>
    <t>luca40_2023-07-20_t1</t>
  </si>
  <si>
    <t>Walters</t>
  </si>
  <si>
    <t>hms_prot_edge4_2023-07-21_t1</t>
  </si>
  <si>
    <t>Johnson</t>
  </si>
  <si>
    <t>bird_rock_2023-08-30_t1</t>
  </si>
  <si>
    <t>bird_rock_2023-10-27_t1</t>
  </si>
  <si>
    <t>Toussaint</t>
  </si>
  <si>
    <t>asil09_2025-07-08_t1</t>
  </si>
  <si>
    <t>column_name</t>
  </si>
  <si>
    <t>description</t>
  </si>
  <si>
    <t>concatenated site-date-transect id</t>
  </si>
  <si>
    <t>area of rectangular swath in which seastars were counted (m2)</t>
  </si>
  <si>
    <t>area of rectangular swath in which Patiria miniata were counted (m2)</t>
  </si>
  <si>
    <t>observer</t>
  </si>
  <si>
    <t>year_collected</t>
  </si>
  <si>
    <t>Julia DiCicco</t>
  </si>
  <si>
    <t>patiria_min_diver</t>
  </si>
  <si>
    <t>dermasterias_imb_diver</t>
  </si>
  <si>
    <t>henricia_spp_diver</t>
  </si>
  <si>
    <t>pisaster_gig_diver</t>
  </si>
  <si>
    <t>leptasterias_hex_diver</t>
  </si>
  <si>
    <t>2022-2023, 2025</t>
  </si>
  <si>
    <t>video_area</t>
  </si>
  <si>
    <t>star_area_standardization_factor</t>
  </si>
  <si>
    <t>patiria_area_standardization_factor</t>
  </si>
  <si>
    <t>total_diver_stars_standardized</t>
  </si>
  <si>
    <t>diver_patiria_standardized</t>
  </si>
  <si>
    <t>video_stars_standardized</t>
  </si>
  <si>
    <t>video_patiria_standardized</t>
  </si>
  <si>
    <t>video_area_standardization_factor</t>
  </si>
  <si>
    <t>video_patiria_min_counts</t>
  </si>
  <si>
    <t>video_pisaster_gig_counts</t>
  </si>
  <si>
    <t>video_dermasterias_imb_counts</t>
  </si>
  <si>
    <t>video_henricia_spp_counts</t>
  </si>
  <si>
    <t>video_leptasterias_hex_counts</t>
  </si>
  <si>
    <t>video_total_counts</t>
  </si>
  <si>
    <t>last name of diver 2 (completes SCUBA star survey)</t>
  </si>
  <si>
    <t>diver_total_stars_standardized</t>
  </si>
  <si>
    <t>diver_patiria_min_counts</t>
  </si>
  <si>
    <t>diver_dermasterias_imb_counts</t>
  </si>
  <si>
    <t>diver_henricia_spp_counts</t>
  </si>
  <si>
    <t>diver_pisaster_gig_counts</t>
  </si>
  <si>
    <t>diver_leptasterias_hex_counts</t>
  </si>
  <si>
    <t>video_total_stars_standardized</t>
  </si>
  <si>
    <t>kfmp_transect_video_metadata_251016</t>
  </si>
  <si>
    <t>source_datasheet</t>
  </si>
  <si>
    <t>new data</t>
  </si>
  <si>
    <t>diver count of Dermasterias imbricata</t>
  </si>
  <si>
    <t>diver count of Henricia spp</t>
  </si>
  <si>
    <t>diver count of Pisaster giganteus</t>
  </si>
  <si>
    <t>diver count of Leptasterias hexactis</t>
  </si>
  <si>
    <t>diver count of Patiria miniata</t>
  </si>
  <si>
    <t>count of Patiria miniata within 15 m^2 video swath</t>
  </si>
  <si>
    <t>count of Dermasterias imbricata within 15 m^2 video swath</t>
  </si>
  <si>
    <t>count of Pisaster giganteus within 15 m^2 video swath</t>
  </si>
  <si>
    <t>count of Henricia spp within 15 m^2 video swath</t>
  </si>
  <si>
    <t>count of Leptasterias hexactis within 15 m^2 video swath</t>
  </si>
  <si>
    <t>sum of video star counts across species</t>
  </si>
  <si>
    <t>area of rectangular swath captured by the video transect</t>
  </si>
  <si>
    <t>video count of Patiria multiplied by video_area_standardization_factor to standardize survey area to 60 m^2</t>
  </si>
  <si>
    <t>video count of total stars multiplied by video_area_standardization_factor to standardize survey area to 60 m^2</t>
  </si>
  <si>
    <t>diver count of total stars multiplied by star_area_standardization_factor to standardize survey area to 60 m^2</t>
  </si>
  <si>
    <t>diver count of patiria multiplied by patiria_area_standardization_factor to standardize survey area to 60 m^2</t>
  </si>
  <si>
    <t>60 m^2 divided by swath_area_patiria, used to account for subsampling</t>
  </si>
  <si>
    <t>60 m^2 divided by swath_area_star, used to account for subsampling</t>
  </si>
  <si>
    <t>60 m^2 divided by video_area, used to standardize counts across different survey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</si>
</sst>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1" fillId="0" borderId="1" xfId="0" applyFont="1" applyBorder="1"/>
    <xf numFmtId="0" fontId="2" fillId="0" borderId="2" xfId="0" applyFont="1" applyBorder="1"/>
    <xf numFmtId="0" fontId="1" fillId="0" borderId="0" xfId="0" applyFont="1" applyBorder="1"/>
    <xf numFmtId="0" fontId="3" fillId="0" borderId="0" xfId="0" applyFont="1" applyProtection="1">
      <protection locked="0"/>
    </xf>
    <xf numFmtId="0" fontId="4" fillId="0" borderId="0" xfId="0" applyFont="1" applyFill="1" applyProtection="1"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2" fillId="0" borderId="0" xfId="0" applyFont="1" applyFill="1"/>
    <xf numFmtId="0" fontId="2" fillId="0" borderId="0" xfId="0" applyFont="1" applyFill="1" applyAlignment="1" applyProtection="1">
      <alignment horizontal="left"/>
      <protection locked="0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4B21-96AB-3E48-B73F-BE9E0E9ACC64}">
  <dimension ref="A1:W22"/>
  <sheetViews>
    <sheetView tabSelected="1" topLeftCell="A4" zoomScale="159" workbookViewId="0">
      <pane xSplit="1" topLeftCell="B1" activePane="topRight" state="frozen"/>
      <selection pane="topRight" activeCell="A21" sqref="A21"/>
    </sheetView>
  </sheetViews>
  <sheetFormatPr baseColWidth="10" defaultRowHeight="14" x14ac:dyDescent="0.15"/>
  <cols>
    <col min="1" max="1" width="28.33203125" style="2" bestFit="1" customWidth="1"/>
    <col min="2" max="2" width="9.1640625" style="2" bestFit="1" customWidth="1"/>
    <col min="3" max="3" width="15.5" style="2" bestFit="1" customWidth="1"/>
    <col min="4" max="4" width="30.6640625" style="2" bestFit="1" customWidth="1"/>
    <col min="5" max="5" width="17.83203125" style="2" bestFit="1" customWidth="1"/>
    <col min="6" max="6" width="33" style="2" bestFit="1" customWidth="1"/>
    <col min="7" max="7" width="23.83203125" style="2" bestFit="1" customWidth="1"/>
    <col min="8" max="8" width="29.83203125" style="2" bestFit="1" customWidth="1"/>
    <col min="9" max="9" width="25.33203125" style="2" bestFit="1" customWidth="1"/>
    <col min="10" max="10" width="24.83203125" style="2" bestFit="1" customWidth="1"/>
    <col min="11" max="11" width="28.5" style="2" bestFit="1" customWidth="1"/>
    <col min="12" max="12" width="28.83203125" style="2" bestFit="1" customWidth="1"/>
    <col min="13" max="13" width="24.83203125" style="2" bestFit="1" customWidth="1"/>
    <col min="14" max="14" width="10.83203125" style="2" bestFit="1" customWidth="1"/>
    <col min="15" max="15" width="32.33203125" style="2" bestFit="1" customWidth="1"/>
    <col min="16" max="16" width="24.33203125" style="2" bestFit="1" customWidth="1"/>
    <col min="17" max="17" width="30.33203125" style="2" bestFit="1" customWidth="1"/>
    <col min="18" max="18" width="25.83203125" style="2" bestFit="1" customWidth="1"/>
    <col min="19" max="19" width="25.33203125" style="2" bestFit="1" customWidth="1"/>
    <col min="20" max="20" width="29" style="2" bestFit="1" customWidth="1"/>
    <col min="21" max="21" width="18.33203125" style="2" bestFit="1" customWidth="1"/>
    <col min="22" max="22" width="29.33203125" style="2" bestFit="1" customWidth="1"/>
    <col min="23" max="23" width="25.33203125" style="2" bestFit="1" customWidth="1"/>
    <col min="24" max="24" width="23" style="2" bestFit="1" customWidth="1"/>
    <col min="25" max="25" width="14.5" style="2" bestFit="1" customWidth="1"/>
    <col min="26" max="16384" width="10.83203125" style="2"/>
  </cols>
  <sheetData>
    <row r="1" spans="1:23" x14ac:dyDescent="0.15">
      <c r="A1" s="1" t="s">
        <v>1</v>
      </c>
      <c r="B1" s="1" t="s">
        <v>0</v>
      </c>
      <c r="C1" s="1" t="s">
        <v>2</v>
      </c>
      <c r="D1" s="1" t="s">
        <v>51</v>
      </c>
      <c r="E1" s="1" t="s">
        <v>3</v>
      </c>
      <c r="F1" s="1" t="s">
        <v>52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6" t="s">
        <v>65</v>
      </c>
      <c r="M1" s="4" t="s">
        <v>54</v>
      </c>
      <c r="N1" s="1" t="s">
        <v>50</v>
      </c>
      <c r="O1" s="1" t="s">
        <v>57</v>
      </c>
      <c r="P1" s="1" t="s">
        <v>58</v>
      </c>
      <c r="Q1" s="1" t="s">
        <v>60</v>
      </c>
      <c r="R1" s="1" t="s">
        <v>61</v>
      </c>
      <c r="S1" s="1" t="s">
        <v>59</v>
      </c>
      <c r="T1" s="1" t="s">
        <v>62</v>
      </c>
      <c r="U1" s="1" t="s">
        <v>63</v>
      </c>
      <c r="V1" s="1" t="s">
        <v>71</v>
      </c>
      <c r="W1" s="1" t="s">
        <v>56</v>
      </c>
    </row>
    <row r="2" spans="1:23" x14ac:dyDescent="0.15">
      <c r="A2" s="2" t="s">
        <v>6</v>
      </c>
      <c r="B2" s="2" t="s">
        <v>5</v>
      </c>
      <c r="C2" s="2">
        <v>60</v>
      </c>
      <c r="D2" s="2">
        <v>1</v>
      </c>
      <c r="E2" s="2">
        <v>30</v>
      </c>
      <c r="F2" s="2">
        <v>2</v>
      </c>
      <c r="G2" s="2">
        <v>38</v>
      </c>
      <c r="H2" s="2">
        <v>0</v>
      </c>
      <c r="I2" s="2">
        <v>4</v>
      </c>
      <c r="J2" s="2">
        <v>1</v>
      </c>
      <c r="K2" s="2">
        <v>0</v>
      </c>
      <c r="L2" s="3">
        <f>SUM(G2:K2)*F2</f>
        <v>86</v>
      </c>
      <c r="M2" s="5">
        <f>G2*F2</f>
        <v>76</v>
      </c>
      <c r="N2" s="2">
        <v>15</v>
      </c>
      <c r="O2" s="2">
        <v>4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>
        <f>SUM(P2:T2)</f>
        <v>20</v>
      </c>
      <c r="V2" s="2">
        <f>U2*O2</f>
        <v>80</v>
      </c>
      <c r="W2" s="2">
        <f>P2*O2</f>
        <v>80</v>
      </c>
    </row>
    <row r="3" spans="1:23" x14ac:dyDescent="0.15">
      <c r="A3" s="2" t="s">
        <v>9</v>
      </c>
      <c r="B3" s="2" t="s">
        <v>8</v>
      </c>
      <c r="C3" s="2">
        <v>60</v>
      </c>
      <c r="D3" s="2">
        <v>1</v>
      </c>
      <c r="E3" s="2">
        <v>60</v>
      </c>
      <c r="F3" s="2">
        <v>1</v>
      </c>
      <c r="G3" s="2">
        <v>58</v>
      </c>
      <c r="H3" s="2">
        <v>0</v>
      </c>
      <c r="I3" s="2">
        <v>0</v>
      </c>
      <c r="J3" s="2">
        <v>0</v>
      </c>
      <c r="K3" s="2">
        <v>0</v>
      </c>
      <c r="L3" s="3">
        <f t="shared" ref="L3:L21" si="0">SUM(G3:K3)*F3</f>
        <v>58</v>
      </c>
      <c r="M3" s="5">
        <f t="shared" ref="M3:M21" si="1">G3*F3</f>
        <v>58</v>
      </c>
      <c r="N3" s="2">
        <v>15</v>
      </c>
      <c r="O3" s="2">
        <v>4</v>
      </c>
      <c r="P3" s="2">
        <v>24</v>
      </c>
      <c r="Q3" s="2">
        <v>0</v>
      </c>
      <c r="R3" s="2">
        <v>2</v>
      </c>
      <c r="S3" s="2">
        <v>0</v>
      </c>
      <c r="T3" s="2">
        <v>0</v>
      </c>
      <c r="U3" s="2">
        <f t="shared" ref="U3:U21" si="2">SUM(P3:T3)</f>
        <v>26</v>
      </c>
      <c r="V3" s="2">
        <f t="shared" ref="V3:V21" si="3">U3*O3</f>
        <v>104</v>
      </c>
      <c r="W3" s="2">
        <f t="shared" ref="W3:W21" si="4">P3*O3</f>
        <v>96</v>
      </c>
    </row>
    <row r="4" spans="1:23" x14ac:dyDescent="0.15">
      <c r="A4" s="2" t="s">
        <v>10</v>
      </c>
      <c r="B4" s="2" t="s">
        <v>7</v>
      </c>
      <c r="C4" s="2">
        <v>60</v>
      </c>
      <c r="D4" s="2">
        <v>1</v>
      </c>
      <c r="E4" s="2">
        <v>60</v>
      </c>
      <c r="F4" s="2">
        <v>1</v>
      </c>
      <c r="G4" s="2">
        <v>40</v>
      </c>
      <c r="H4" s="2">
        <v>1</v>
      </c>
      <c r="I4" s="2">
        <v>0</v>
      </c>
      <c r="J4" s="2">
        <v>1</v>
      </c>
      <c r="K4" s="2">
        <v>0</v>
      </c>
      <c r="L4" s="3">
        <f t="shared" si="0"/>
        <v>42</v>
      </c>
      <c r="M4" s="5">
        <f t="shared" si="1"/>
        <v>40</v>
      </c>
      <c r="N4" s="2">
        <v>15</v>
      </c>
      <c r="O4" s="2">
        <v>4</v>
      </c>
      <c r="P4" s="2">
        <v>17</v>
      </c>
      <c r="Q4" s="2">
        <v>0</v>
      </c>
      <c r="R4" s="2">
        <v>0</v>
      </c>
      <c r="S4" s="2">
        <v>0</v>
      </c>
      <c r="T4" s="2">
        <v>0</v>
      </c>
      <c r="U4" s="2">
        <f>SUM(P4:T4)</f>
        <v>17</v>
      </c>
      <c r="V4" s="2">
        <f t="shared" si="3"/>
        <v>68</v>
      </c>
      <c r="W4" s="2">
        <f t="shared" si="4"/>
        <v>68</v>
      </c>
    </row>
    <row r="5" spans="1:23" x14ac:dyDescent="0.15">
      <c r="A5" s="2" t="s">
        <v>11</v>
      </c>
      <c r="B5" s="2" t="s">
        <v>8</v>
      </c>
      <c r="C5" s="2">
        <v>60</v>
      </c>
      <c r="D5" s="2">
        <v>1</v>
      </c>
      <c r="E5" s="2">
        <v>60</v>
      </c>
      <c r="F5" s="2">
        <v>1</v>
      </c>
      <c r="G5" s="2">
        <v>37</v>
      </c>
      <c r="H5" s="2">
        <v>3</v>
      </c>
      <c r="I5" s="2">
        <v>0</v>
      </c>
      <c r="J5" s="2">
        <v>10</v>
      </c>
      <c r="K5" s="2">
        <v>0</v>
      </c>
      <c r="L5" s="3">
        <f t="shared" si="0"/>
        <v>50</v>
      </c>
      <c r="M5" s="5">
        <f t="shared" si="1"/>
        <v>37</v>
      </c>
      <c r="N5" s="2">
        <v>15</v>
      </c>
      <c r="O5" s="2">
        <v>4</v>
      </c>
      <c r="P5" s="2">
        <v>39</v>
      </c>
      <c r="Q5" s="2">
        <v>3</v>
      </c>
      <c r="R5" s="2">
        <v>0</v>
      </c>
      <c r="S5" s="2">
        <v>6</v>
      </c>
      <c r="T5" s="2">
        <v>0</v>
      </c>
      <c r="U5" s="2">
        <f t="shared" si="2"/>
        <v>48</v>
      </c>
      <c r="V5" s="2">
        <f t="shared" si="3"/>
        <v>192</v>
      </c>
      <c r="W5" s="2">
        <f t="shared" si="4"/>
        <v>156</v>
      </c>
    </row>
    <row r="6" spans="1:23" x14ac:dyDescent="0.15">
      <c r="A6" s="2" t="s">
        <v>12</v>
      </c>
      <c r="B6" s="2" t="s">
        <v>5</v>
      </c>
      <c r="C6" s="2">
        <v>60</v>
      </c>
      <c r="D6" s="2">
        <v>1</v>
      </c>
      <c r="E6" s="2">
        <v>60</v>
      </c>
      <c r="F6" s="2">
        <v>1</v>
      </c>
      <c r="G6" s="2">
        <v>16</v>
      </c>
      <c r="H6" s="2">
        <v>1</v>
      </c>
      <c r="I6" s="2">
        <v>2</v>
      </c>
      <c r="J6" s="2">
        <v>6</v>
      </c>
      <c r="K6" s="2">
        <v>0</v>
      </c>
      <c r="L6" s="3">
        <f t="shared" si="0"/>
        <v>25</v>
      </c>
      <c r="M6" s="5">
        <f t="shared" si="1"/>
        <v>16</v>
      </c>
      <c r="N6" s="2">
        <v>15</v>
      </c>
      <c r="O6" s="2">
        <v>4</v>
      </c>
      <c r="P6" s="2">
        <v>8</v>
      </c>
      <c r="Q6" s="2">
        <v>0</v>
      </c>
      <c r="R6" s="2">
        <v>1</v>
      </c>
      <c r="S6" s="2">
        <v>2</v>
      </c>
      <c r="T6" s="2">
        <v>0</v>
      </c>
      <c r="U6" s="2">
        <f t="shared" si="2"/>
        <v>11</v>
      </c>
      <c r="V6" s="2">
        <f t="shared" si="3"/>
        <v>44</v>
      </c>
      <c r="W6" s="2">
        <f t="shared" si="4"/>
        <v>32</v>
      </c>
    </row>
    <row r="7" spans="1:23" x14ac:dyDescent="0.15">
      <c r="A7" s="2" t="s">
        <v>13</v>
      </c>
      <c r="B7" s="2" t="s">
        <v>4</v>
      </c>
      <c r="C7" s="2">
        <v>30</v>
      </c>
      <c r="D7" s="2">
        <v>2</v>
      </c>
      <c r="E7" s="2">
        <v>30</v>
      </c>
      <c r="F7" s="2">
        <v>2</v>
      </c>
      <c r="G7" s="2">
        <v>15</v>
      </c>
      <c r="H7" s="2">
        <v>3</v>
      </c>
      <c r="I7" s="2">
        <v>0</v>
      </c>
      <c r="J7" s="2">
        <v>2</v>
      </c>
      <c r="K7" s="2">
        <v>0</v>
      </c>
      <c r="L7" s="3">
        <f t="shared" si="0"/>
        <v>40</v>
      </c>
      <c r="M7" s="5">
        <f t="shared" si="1"/>
        <v>30</v>
      </c>
      <c r="N7" s="2">
        <v>15</v>
      </c>
      <c r="O7" s="2">
        <v>4</v>
      </c>
      <c r="P7" s="2">
        <v>21</v>
      </c>
      <c r="Q7" s="2">
        <v>1</v>
      </c>
      <c r="R7" s="2">
        <v>0</v>
      </c>
      <c r="S7" s="2">
        <v>0</v>
      </c>
      <c r="T7" s="2">
        <v>0</v>
      </c>
      <c r="U7" s="2">
        <f t="shared" si="2"/>
        <v>22</v>
      </c>
      <c r="V7" s="2">
        <f t="shared" si="3"/>
        <v>88</v>
      </c>
      <c r="W7" s="2">
        <f t="shared" si="4"/>
        <v>84</v>
      </c>
    </row>
    <row r="8" spans="1:23" x14ac:dyDescent="0.15">
      <c r="A8" s="2" t="s">
        <v>15</v>
      </c>
      <c r="B8" s="2" t="s">
        <v>5</v>
      </c>
      <c r="C8" s="2">
        <v>60</v>
      </c>
      <c r="D8" s="2">
        <v>1</v>
      </c>
      <c r="E8" s="2">
        <v>60</v>
      </c>
      <c r="F8" s="2">
        <v>1</v>
      </c>
      <c r="G8" s="2">
        <v>7</v>
      </c>
      <c r="H8" s="2">
        <v>0</v>
      </c>
      <c r="I8" s="2">
        <v>0</v>
      </c>
      <c r="J8" s="2">
        <v>0</v>
      </c>
      <c r="K8" s="2">
        <v>0</v>
      </c>
      <c r="L8" s="3">
        <f t="shared" si="0"/>
        <v>7</v>
      </c>
      <c r="M8" s="5">
        <f t="shared" si="1"/>
        <v>7</v>
      </c>
      <c r="N8" s="2">
        <v>15</v>
      </c>
      <c r="O8" s="2">
        <v>4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f t="shared" si="2"/>
        <v>2</v>
      </c>
      <c r="V8" s="2">
        <f t="shared" si="3"/>
        <v>8</v>
      </c>
      <c r="W8" s="2">
        <f t="shared" si="4"/>
        <v>8</v>
      </c>
    </row>
    <row r="9" spans="1:23" x14ac:dyDescent="0.15">
      <c r="A9" s="2" t="s">
        <v>16</v>
      </c>
      <c r="B9" s="2" t="s">
        <v>8</v>
      </c>
      <c r="C9" s="2">
        <v>60</v>
      </c>
      <c r="D9" s="2">
        <v>1</v>
      </c>
      <c r="E9" s="2">
        <v>60</v>
      </c>
      <c r="F9" s="2">
        <v>1</v>
      </c>
      <c r="G9" s="2">
        <v>9</v>
      </c>
      <c r="H9" s="2">
        <v>2</v>
      </c>
      <c r="I9" s="2">
        <v>0</v>
      </c>
      <c r="J9" s="2">
        <v>2</v>
      </c>
      <c r="K9" s="2">
        <v>0</v>
      </c>
      <c r="L9" s="3">
        <f t="shared" si="0"/>
        <v>13</v>
      </c>
      <c r="M9" s="5">
        <f t="shared" si="1"/>
        <v>9</v>
      </c>
      <c r="N9" s="2">
        <v>15</v>
      </c>
      <c r="O9" s="2">
        <v>4</v>
      </c>
      <c r="P9" s="2">
        <v>4</v>
      </c>
      <c r="Q9" s="2">
        <v>0</v>
      </c>
      <c r="R9" s="2">
        <v>0</v>
      </c>
      <c r="S9" s="2">
        <v>1</v>
      </c>
      <c r="T9" s="2">
        <v>0</v>
      </c>
      <c r="U9" s="2">
        <f t="shared" si="2"/>
        <v>5</v>
      </c>
      <c r="V9" s="2">
        <f t="shared" si="3"/>
        <v>20</v>
      </c>
      <c r="W9" s="2">
        <f t="shared" si="4"/>
        <v>16</v>
      </c>
    </row>
    <row r="10" spans="1:23" x14ac:dyDescent="0.15">
      <c r="A10" s="2" t="s">
        <v>17</v>
      </c>
      <c r="B10" s="2" t="s">
        <v>14</v>
      </c>
      <c r="C10" s="2">
        <v>60</v>
      </c>
      <c r="D10" s="2">
        <v>1</v>
      </c>
      <c r="E10" s="2">
        <v>60</v>
      </c>
      <c r="F10" s="2">
        <v>1</v>
      </c>
      <c r="G10" s="2">
        <v>50</v>
      </c>
      <c r="H10" s="2">
        <v>0</v>
      </c>
      <c r="I10" s="2">
        <v>1</v>
      </c>
      <c r="J10" s="2">
        <v>0</v>
      </c>
      <c r="K10" s="2">
        <v>0</v>
      </c>
      <c r="L10" s="3">
        <f t="shared" si="0"/>
        <v>51</v>
      </c>
      <c r="M10" s="5">
        <f t="shared" si="1"/>
        <v>50</v>
      </c>
      <c r="N10" s="2">
        <v>15</v>
      </c>
      <c r="O10" s="2">
        <v>4</v>
      </c>
      <c r="P10" s="2">
        <v>16</v>
      </c>
      <c r="Q10" s="2">
        <v>0</v>
      </c>
      <c r="R10" s="2">
        <v>0</v>
      </c>
      <c r="S10" s="2">
        <v>0</v>
      </c>
      <c r="T10" s="2">
        <v>0</v>
      </c>
      <c r="U10" s="2">
        <f t="shared" si="2"/>
        <v>16</v>
      </c>
      <c r="V10" s="2">
        <f t="shared" si="3"/>
        <v>64</v>
      </c>
      <c r="W10" s="2">
        <f t="shared" si="4"/>
        <v>64</v>
      </c>
    </row>
    <row r="11" spans="1:23" x14ac:dyDescent="0.15">
      <c r="A11" s="2" t="s">
        <v>18</v>
      </c>
      <c r="B11" s="2" t="s">
        <v>7</v>
      </c>
      <c r="C11" s="2">
        <v>60</v>
      </c>
      <c r="D11" s="2">
        <v>1</v>
      </c>
      <c r="E11" s="2">
        <v>60</v>
      </c>
      <c r="F11" s="2">
        <v>1</v>
      </c>
      <c r="G11" s="2">
        <v>49</v>
      </c>
      <c r="H11" s="2">
        <v>0</v>
      </c>
      <c r="I11" s="2">
        <v>1</v>
      </c>
      <c r="J11" s="2">
        <v>0</v>
      </c>
      <c r="K11" s="2">
        <v>1</v>
      </c>
      <c r="L11" s="3">
        <f t="shared" si="0"/>
        <v>51</v>
      </c>
      <c r="M11" s="5">
        <f>G11*F11</f>
        <v>49</v>
      </c>
      <c r="N11" s="2">
        <v>15</v>
      </c>
      <c r="O11" s="2">
        <v>4</v>
      </c>
      <c r="P11" s="2">
        <v>15</v>
      </c>
      <c r="Q11" s="2">
        <v>0</v>
      </c>
      <c r="R11" s="2">
        <v>0</v>
      </c>
      <c r="S11" s="2">
        <v>0</v>
      </c>
      <c r="T11" s="2">
        <v>0</v>
      </c>
      <c r="U11" s="2">
        <f t="shared" si="2"/>
        <v>15</v>
      </c>
      <c r="V11" s="2">
        <f t="shared" si="3"/>
        <v>60</v>
      </c>
      <c r="W11" s="2">
        <f t="shared" si="4"/>
        <v>60</v>
      </c>
    </row>
    <row r="12" spans="1:23" x14ac:dyDescent="0.15">
      <c r="A12" s="2" t="s">
        <v>19</v>
      </c>
      <c r="B12" s="2" t="s">
        <v>4</v>
      </c>
      <c r="C12" s="2">
        <v>60</v>
      </c>
      <c r="D12" s="2">
        <v>1</v>
      </c>
      <c r="E12" s="2">
        <v>60</v>
      </c>
      <c r="F12" s="2">
        <v>1</v>
      </c>
      <c r="G12" s="2">
        <v>27</v>
      </c>
      <c r="H12" s="2">
        <v>0</v>
      </c>
      <c r="I12" s="2">
        <v>0</v>
      </c>
      <c r="J12" s="2">
        <v>0</v>
      </c>
      <c r="K12" s="2">
        <v>0</v>
      </c>
      <c r="L12" s="3">
        <f>SUM(G12:K12)*F12</f>
        <v>27</v>
      </c>
      <c r="M12" s="5">
        <f t="shared" si="1"/>
        <v>27</v>
      </c>
      <c r="N12" s="2">
        <v>15</v>
      </c>
      <c r="O12" s="2">
        <v>4</v>
      </c>
      <c r="P12" s="2">
        <v>8</v>
      </c>
      <c r="Q12" s="2">
        <v>0</v>
      </c>
      <c r="R12" s="2">
        <v>1</v>
      </c>
      <c r="S12" s="2">
        <v>0</v>
      </c>
      <c r="T12" s="2">
        <v>0</v>
      </c>
      <c r="U12" s="2">
        <f t="shared" si="2"/>
        <v>9</v>
      </c>
      <c r="V12" s="2">
        <f t="shared" si="3"/>
        <v>36</v>
      </c>
      <c r="W12" s="2">
        <f t="shared" si="4"/>
        <v>32</v>
      </c>
    </row>
    <row r="13" spans="1:23" x14ac:dyDescent="0.15">
      <c r="A13" s="2" t="s">
        <v>22</v>
      </c>
      <c r="B13" s="2" t="s">
        <v>21</v>
      </c>
      <c r="C13" s="2">
        <v>60</v>
      </c>
      <c r="D13" s="2">
        <v>1</v>
      </c>
      <c r="E13" s="2">
        <v>60</v>
      </c>
      <c r="F13" s="2">
        <v>1</v>
      </c>
      <c r="G13" s="2">
        <v>12</v>
      </c>
      <c r="H13" s="2">
        <v>1</v>
      </c>
      <c r="I13" s="2">
        <v>0</v>
      </c>
      <c r="J13" s="2">
        <v>3</v>
      </c>
      <c r="K13" s="2">
        <v>0</v>
      </c>
      <c r="L13" s="3">
        <f t="shared" si="0"/>
        <v>16</v>
      </c>
      <c r="M13" s="5">
        <f t="shared" si="1"/>
        <v>12</v>
      </c>
      <c r="N13" s="2">
        <v>15</v>
      </c>
      <c r="O13" s="2">
        <v>4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f t="shared" si="2"/>
        <v>2</v>
      </c>
      <c r="V13" s="2">
        <f>U13*O13</f>
        <v>8</v>
      </c>
      <c r="W13" s="2">
        <f t="shared" si="4"/>
        <v>8</v>
      </c>
    </row>
    <row r="14" spans="1:23" x14ac:dyDescent="0.15">
      <c r="A14" s="2" t="s">
        <v>24</v>
      </c>
      <c r="B14" s="2" t="s">
        <v>23</v>
      </c>
      <c r="C14" s="2">
        <v>60</v>
      </c>
      <c r="D14" s="2">
        <v>1</v>
      </c>
      <c r="E14" s="2">
        <v>60</v>
      </c>
      <c r="F14" s="2">
        <v>1</v>
      </c>
      <c r="G14" s="2">
        <v>14</v>
      </c>
      <c r="H14" s="2">
        <v>0</v>
      </c>
      <c r="I14" s="2">
        <v>1</v>
      </c>
      <c r="J14" s="2">
        <v>0</v>
      </c>
      <c r="K14" s="2">
        <v>0</v>
      </c>
      <c r="L14" s="3">
        <f t="shared" si="0"/>
        <v>15</v>
      </c>
      <c r="M14" s="5">
        <f t="shared" si="1"/>
        <v>14</v>
      </c>
      <c r="N14" s="2">
        <v>15</v>
      </c>
      <c r="O14" s="2">
        <v>4</v>
      </c>
      <c r="P14" s="2">
        <v>7</v>
      </c>
      <c r="Q14" s="2">
        <v>0</v>
      </c>
      <c r="R14" s="2">
        <v>0</v>
      </c>
      <c r="S14" s="2">
        <v>0</v>
      </c>
      <c r="T14" s="2">
        <v>0</v>
      </c>
      <c r="U14" s="2">
        <f t="shared" si="2"/>
        <v>7</v>
      </c>
      <c r="V14" s="2">
        <f t="shared" si="3"/>
        <v>28</v>
      </c>
      <c r="W14" s="2">
        <f t="shared" si="4"/>
        <v>28</v>
      </c>
    </row>
    <row r="15" spans="1:23" x14ac:dyDescent="0.15">
      <c r="A15" s="2" t="s">
        <v>26</v>
      </c>
      <c r="B15" s="2" t="s">
        <v>25</v>
      </c>
      <c r="C15" s="2">
        <v>60</v>
      </c>
      <c r="D15" s="2">
        <v>1</v>
      </c>
      <c r="E15" s="2">
        <v>60</v>
      </c>
      <c r="F15" s="2">
        <v>1</v>
      </c>
      <c r="G15" s="2">
        <v>54</v>
      </c>
      <c r="H15" s="2">
        <v>1</v>
      </c>
      <c r="I15" s="2">
        <v>0</v>
      </c>
      <c r="J15" s="2">
        <v>1</v>
      </c>
      <c r="K15" s="2">
        <v>0</v>
      </c>
      <c r="L15" s="3">
        <f t="shared" si="0"/>
        <v>56</v>
      </c>
      <c r="M15" s="5">
        <f t="shared" si="1"/>
        <v>54</v>
      </c>
      <c r="N15" s="2">
        <v>15</v>
      </c>
      <c r="O15" s="2">
        <v>4</v>
      </c>
      <c r="P15" s="2">
        <v>12</v>
      </c>
      <c r="Q15" s="2">
        <v>0</v>
      </c>
      <c r="R15" s="2">
        <v>0</v>
      </c>
      <c r="S15" s="2">
        <v>0</v>
      </c>
      <c r="T15" s="2">
        <v>0</v>
      </c>
      <c r="U15" s="2">
        <f t="shared" si="2"/>
        <v>12</v>
      </c>
      <c r="V15" s="2">
        <f t="shared" si="3"/>
        <v>48</v>
      </c>
      <c r="W15" s="2">
        <f t="shared" si="4"/>
        <v>48</v>
      </c>
    </row>
    <row r="16" spans="1:23" x14ac:dyDescent="0.15">
      <c r="A16" s="2" t="s">
        <v>27</v>
      </c>
      <c r="B16" s="2" t="s">
        <v>25</v>
      </c>
      <c r="C16" s="2">
        <v>60</v>
      </c>
      <c r="D16" s="2">
        <v>1</v>
      </c>
      <c r="E16" s="2">
        <v>60</v>
      </c>
      <c r="F16" s="2">
        <v>1</v>
      </c>
      <c r="G16" s="2">
        <v>30</v>
      </c>
      <c r="H16" s="2">
        <v>5</v>
      </c>
      <c r="I16" s="2">
        <v>1</v>
      </c>
      <c r="J16" s="2">
        <v>3</v>
      </c>
      <c r="K16" s="2">
        <v>0</v>
      </c>
      <c r="L16" s="3">
        <f t="shared" si="0"/>
        <v>39</v>
      </c>
      <c r="M16" s="5">
        <f t="shared" si="1"/>
        <v>30</v>
      </c>
      <c r="N16" s="2">
        <v>15</v>
      </c>
      <c r="O16" s="2">
        <v>4</v>
      </c>
      <c r="P16" s="2">
        <v>8</v>
      </c>
      <c r="Q16" s="2">
        <v>1</v>
      </c>
      <c r="R16" s="2">
        <v>0</v>
      </c>
      <c r="S16" s="2">
        <v>0</v>
      </c>
      <c r="T16" s="2">
        <v>0</v>
      </c>
      <c r="U16" s="2">
        <f t="shared" si="2"/>
        <v>9</v>
      </c>
      <c r="V16" s="2">
        <f t="shared" si="3"/>
        <v>36</v>
      </c>
      <c r="W16" s="2">
        <f>P16*O16</f>
        <v>32</v>
      </c>
    </row>
    <row r="17" spans="1:23" x14ac:dyDescent="0.15">
      <c r="A17" s="2" t="s">
        <v>28</v>
      </c>
      <c r="B17" s="2" t="s">
        <v>20</v>
      </c>
      <c r="C17" s="2">
        <v>60</v>
      </c>
      <c r="D17" s="2">
        <v>1</v>
      </c>
      <c r="E17" s="2">
        <v>60</v>
      </c>
      <c r="F17" s="2">
        <v>1</v>
      </c>
      <c r="G17" s="2">
        <v>81</v>
      </c>
      <c r="H17" s="2">
        <v>0</v>
      </c>
      <c r="I17" s="2">
        <v>1</v>
      </c>
      <c r="J17" s="2">
        <v>1</v>
      </c>
      <c r="K17" s="2">
        <v>0</v>
      </c>
      <c r="L17" s="3">
        <f t="shared" si="0"/>
        <v>83</v>
      </c>
      <c r="M17" s="5">
        <f t="shared" si="1"/>
        <v>81</v>
      </c>
      <c r="N17" s="2">
        <v>15</v>
      </c>
      <c r="O17" s="2">
        <v>4</v>
      </c>
      <c r="P17" s="2">
        <v>29</v>
      </c>
      <c r="Q17" s="2">
        <v>0</v>
      </c>
      <c r="R17" s="2">
        <v>0</v>
      </c>
      <c r="S17" s="2">
        <v>0</v>
      </c>
      <c r="T17" s="2">
        <v>0</v>
      </c>
      <c r="U17" s="2">
        <f t="shared" si="2"/>
        <v>29</v>
      </c>
      <c r="V17" s="2">
        <f t="shared" si="3"/>
        <v>116</v>
      </c>
      <c r="W17" s="2">
        <f t="shared" si="4"/>
        <v>116</v>
      </c>
    </row>
    <row r="18" spans="1:23" x14ac:dyDescent="0.15">
      <c r="A18" s="2" t="s">
        <v>30</v>
      </c>
      <c r="B18" s="2" t="s">
        <v>29</v>
      </c>
      <c r="C18" s="2">
        <v>60</v>
      </c>
      <c r="D18" s="2">
        <v>1</v>
      </c>
      <c r="E18" s="2">
        <v>60</v>
      </c>
      <c r="F18" s="2">
        <v>1</v>
      </c>
      <c r="G18" s="2">
        <v>64</v>
      </c>
      <c r="H18" s="2">
        <v>1</v>
      </c>
      <c r="I18" s="2">
        <v>0</v>
      </c>
      <c r="J18" s="2">
        <v>6</v>
      </c>
      <c r="K18" s="2">
        <v>0</v>
      </c>
      <c r="L18" s="3">
        <f t="shared" si="0"/>
        <v>71</v>
      </c>
      <c r="M18" s="5">
        <f t="shared" si="1"/>
        <v>64</v>
      </c>
      <c r="N18" s="2">
        <v>15</v>
      </c>
      <c r="O18" s="2">
        <v>4</v>
      </c>
      <c r="P18" s="2">
        <v>21</v>
      </c>
      <c r="Q18" s="2">
        <v>0</v>
      </c>
      <c r="R18" s="2">
        <v>0</v>
      </c>
      <c r="S18" s="2">
        <v>2</v>
      </c>
      <c r="T18" s="2">
        <v>0</v>
      </c>
      <c r="U18" s="2">
        <f t="shared" si="2"/>
        <v>23</v>
      </c>
      <c r="V18" s="2">
        <f t="shared" si="3"/>
        <v>92</v>
      </c>
      <c r="W18" s="2">
        <f t="shared" si="4"/>
        <v>84</v>
      </c>
    </row>
    <row r="19" spans="1:23" x14ac:dyDescent="0.15">
      <c r="A19" s="2" t="s">
        <v>32</v>
      </c>
      <c r="B19" s="2" t="s">
        <v>31</v>
      </c>
      <c r="C19" s="2">
        <v>60</v>
      </c>
      <c r="D19" s="2">
        <v>1</v>
      </c>
      <c r="E19" s="2">
        <v>60</v>
      </c>
      <c r="F19" s="2">
        <v>1</v>
      </c>
      <c r="G19" s="2">
        <v>17</v>
      </c>
      <c r="H19" s="2">
        <v>0</v>
      </c>
      <c r="I19" s="2">
        <v>0</v>
      </c>
      <c r="J19" s="2">
        <v>1</v>
      </c>
      <c r="K19" s="2">
        <v>0</v>
      </c>
      <c r="L19" s="3">
        <f t="shared" si="0"/>
        <v>18</v>
      </c>
      <c r="M19" s="5">
        <f t="shared" si="1"/>
        <v>17</v>
      </c>
      <c r="N19" s="2">
        <v>15</v>
      </c>
      <c r="O19" s="2">
        <v>4</v>
      </c>
      <c r="P19" s="2">
        <v>12</v>
      </c>
      <c r="Q19" s="2">
        <v>0</v>
      </c>
      <c r="R19" s="2">
        <v>0</v>
      </c>
      <c r="S19" s="2">
        <v>0</v>
      </c>
      <c r="T19" s="2">
        <v>0</v>
      </c>
      <c r="U19" s="2">
        <f t="shared" si="2"/>
        <v>12</v>
      </c>
      <c r="V19" s="2">
        <f t="shared" si="3"/>
        <v>48</v>
      </c>
      <c r="W19" s="2">
        <f t="shared" si="4"/>
        <v>48</v>
      </c>
    </row>
    <row r="20" spans="1:23" x14ac:dyDescent="0.15">
      <c r="A20" s="2" t="s">
        <v>33</v>
      </c>
      <c r="B20" s="2" t="s">
        <v>29</v>
      </c>
      <c r="C20" s="2">
        <v>60</v>
      </c>
      <c r="D20" s="2">
        <v>1</v>
      </c>
      <c r="E20" s="2">
        <v>60</v>
      </c>
      <c r="F20" s="2">
        <v>1</v>
      </c>
      <c r="G20" s="2">
        <v>42</v>
      </c>
      <c r="H20" s="2">
        <v>0</v>
      </c>
      <c r="I20" s="2">
        <v>2</v>
      </c>
      <c r="J20" s="2">
        <v>0</v>
      </c>
      <c r="K20" s="2">
        <v>0</v>
      </c>
      <c r="L20" s="3">
        <f t="shared" si="0"/>
        <v>44</v>
      </c>
      <c r="M20" s="5">
        <f t="shared" si="1"/>
        <v>42</v>
      </c>
      <c r="N20" s="2">
        <v>15</v>
      </c>
      <c r="O20" s="2">
        <v>4</v>
      </c>
      <c r="P20" s="2">
        <v>10</v>
      </c>
      <c r="Q20" s="2">
        <v>0</v>
      </c>
      <c r="R20" s="2">
        <v>0</v>
      </c>
      <c r="S20" s="2">
        <v>0</v>
      </c>
      <c r="T20" s="2">
        <v>0</v>
      </c>
      <c r="U20" s="2">
        <f t="shared" si="2"/>
        <v>10</v>
      </c>
      <c r="V20" s="2">
        <f t="shared" si="3"/>
        <v>40</v>
      </c>
      <c r="W20" s="2">
        <f t="shared" si="4"/>
        <v>40</v>
      </c>
    </row>
    <row r="21" spans="1:23" x14ac:dyDescent="0.15">
      <c r="A21" s="2" t="s">
        <v>35</v>
      </c>
      <c r="B21" s="2" t="s">
        <v>34</v>
      </c>
      <c r="C21" s="2">
        <v>60</v>
      </c>
      <c r="D21" s="2">
        <v>1</v>
      </c>
      <c r="E21" s="2">
        <v>60</v>
      </c>
      <c r="F21" s="2">
        <v>1</v>
      </c>
      <c r="G21" s="2">
        <v>150</v>
      </c>
      <c r="H21" s="2">
        <v>0</v>
      </c>
      <c r="I21" s="2">
        <v>7</v>
      </c>
      <c r="J21" s="2">
        <v>3</v>
      </c>
      <c r="K21" s="2">
        <v>0</v>
      </c>
      <c r="L21" s="3">
        <f t="shared" si="0"/>
        <v>160</v>
      </c>
      <c r="M21" s="5">
        <f t="shared" si="1"/>
        <v>150</v>
      </c>
      <c r="N21" s="2">
        <v>15</v>
      </c>
      <c r="O21" s="2">
        <v>4</v>
      </c>
      <c r="P21" s="2">
        <v>47</v>
      </c>
      <c r="Q21" s="2">
        <v>0</v>
      </c>
      <c r="R21" s="2">
        <v>0</v>
      </c>
      <c r="S21" s="2">
        <v>1</v>
      </c>
      <c r="T21" s="2">
        <v>0</v>
      </c>
      <c r="U21" s="2">
        <f t="shared" si="2"/>
        <v>48</v>
      </c>
      <c r="V21" s="2">
        <f t="shared" si="3"/>
        <v>192</v>
      </c>
      <c r="W21" s="2">
        <f t="shared" si="4"/>
        <v>188</v>
      </c>
    </row>
    <row r="22" spans="1:23" x14ac:dyDescent="0.15">
      <c r="M22" s="3"/>
    </row>
  </sheetData>
  <pageMargins left="0.7" right="0.7" top="0.75" bottom="0.75" header="0.3" footer="0.3"/>
  <ignoredErrors>
    <ignoredError sqref="U2:U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3F4B-11B6-5244-969F-2BBE8877F1E4}">
  <dimension ref="A1:E24"/>
  <sheetViews>
    <sheetView zoomScale="136" workbookViewId="0">
      <selection activeCell="B29" sqref="B29"/>
    </sheetView>
  </sheetViews>
  <sheetFormatPr baseColWidth="10" defaultRowHeight="14" x14ac:dyDescent="0.15"/>
  <cols>
    <col min="1" max="1" width="30.1640625" style="2" bestFit="1" customWidth="1"/>
    <col min="2" max="2" width="93" style="2" bestFit="1" customWidth="1"/>
    <col min="3" max="3" width="11.6640625" style="2" bestFit="1" customWidth="1"/>
    <col min="4" max="4" width="14.83203125" style="2" bestFit="1" customWidth="1"/>
    <col min="5" max="5" width="34.33203125" style="2" bestFit="1" customWidth="1"/>
    <col min="6" max="16384" width="10.83203125" style="2"/>
  </cols>
  <sheetData>
    <row r="1" spans="1:5" s="7" customFormat="1" ht="15.75" customHeight="1" x14ac:dyDescent="0.2">
      <c r="A1" s="8" t="s">
        <v>36</v>
      </c>
      <c r="B1" s="8" t="s">
        <v>37</v>
      </c>
      <c r="C1" s="8" t="s">
        <v>41</v>
      </c>
      <c r="D1" s="9" t="s">
        <v>42</v>
      </c>
      <c r="E1" s="10" t="s">
        <v>73</v>
      </c>
    </row>
    <row r="2" spans="1:5" x14ac:dyDescent="0.15">
      <c r="A2" s="11" t="s">
        <v>1</v>
      </c>
      <c r="B2" s="11" t="s">
        <v>38</v>
      </c>
      <c r="C2" s="11"/>
      <c r="D2" s="11"/>
      <c r="E2" s="12" t="s">
        <v>72</v>
      </c>
    </row>
    <row r="3" spans="1:5" x14ac:dyDescent="0.15">
      <c r="A3" s="11" t="s">
        <v>0</v>
      </c>
      <c r="B3" s="11" t="s">
        <v>64</v>
      </c>
      <c r="C3" s="11"/>
      <c r="D3" s="11"/>
      <c r="E3" s="12" t="s">
        <v>72</v>
      </c>
    </row>
    <row r="4" spans="1:5" x14ac:dyDescent="0.15">
      <c r="A4" s="11" t="s">
        <v>2</v>
      </c>
      <c r="B4" s="11" t="s">
        <v>39</v>
      </c>
      <c r="C4" s="11"/>
      <c r="D4" s="11"/>
      <c r="E4" s="12" t="s">
        <v>72</v>
      </c>
    </row>
    <row r="5" spans="1:5" x14ac:dyDescent="0.15">
      <c r="A5" s="11" t="s">
        <v>51</v>
      </c>
      <c r="B5" s="11" t="s">
        <v>92</v>
      </c>
      <c r="C5" s="11"/>
      <c r="D5" s="11"/>
      <c r="E5" s="11" t="s">
        <v>74</v>
      </c>
    </row>
    <row r="6" spans="1:5" x14ac:dyDescent="0.15">
      <c r="A6" s="11" t="s">
        <v>3</v>
      </c>
      <c r="B6" s="11" t="s">
        <v>40</v>
      </c>
      <c r="C6" s="11"/>
      <c r="D6" s="11"/>
      <c r="E6" s="12" t="s">
        <v>72</v>
      </c>
    </row>
    <row r="7" spans="1:5" x14ac:dyDescent="0.15">
      <c r="A7" s="11" t="s">
        <v>52</v>
      </c>
      <c r="B7" s="11" t="s">
        <v>91</v>
      </c>
      <c r="C7" s="11"/>
      <c r="D7" s="11"/>
      <c r="E7" s="11" t="s">
        <v>74</v>
      </c>
    </row>
    <row r="8" spans="1:5" x14ac:dyDescent="0.15">
      <c r="A8" s="11" t="s">
        <v>44</v>
      </c>
      <c r="B8" s="11" t="s">
        <v>79</v>
      </c>
      <c r="C8" s="11" t="s">
        <v>0</v>
      </c>
      <c r="D8" s="11" t="s">
        <v>49</v>
      </c>
      <c r="E8" s="12" t="s">
        <v>72</v>
      </c>
    </row>
    <row r="9" spans="1:5" x14ac:dyDescent="0.15">
      <c r="A9" s="11" t="s">
        <v>45</v>
      </c>
      <c r="B9" s="11" t="s">
        <v>75</v>
      </c>
      <c r="C9" s="11" t="s">
        <v>0</v>
      </c>
      <c r="D9" s="11" t="s">
        <v>49</v>
      </c>
      <c r="E9" s="12" t="s">
        <v>72</v>
      </c>
    </row>
    <row r="10" spans="1:5" x14ac:dyDescent="0.15">
      <c r="A10" s="11" t="s">
        <v>46</v>
      </c>
      <c r="B10" s="11" t="s">
        <v>76</v>
      </c>
      <c r="C10" s="11" t="s">
        <v>0</v>
      </c>
      <c r="D10" s="11" t="s">
        <v>49</v>
      </c>
      <c r="E10" s="12" t="s">
        <v>72</v>
      </c>
    </row>
    <row r="11" spans="1:5" x14ac:dyDescent="0.15">
      <c r="A11" s="11" t="s">
        <v>47</v>
      </c>
      <c r="B11" s="11" t="s">
        <v>77</v>
      </c>
      <c r="C11" s="11" t="s">
        <v>0</v>
      </c>
      <c r="D11" s="11" t="s">
        <v>49</v>
      </c>
      <c r="E11" s="12" t="s">
        <v>72</v>
      </c>
    </row>
    <row r="12" spans="1:5" x14ac:dyDescent="0.15">
      <c r="A12" s="11" t="s">
        <v>48</v>
      </c>
      <c r="B12" s="11" t="s">
        <v>78</v>
      </c>
      <c r="C12" s="11" t="s">
        <v>0</v>
      </c>
      <c r="D12" s="11" t="s">
        <v>49</v>
      </c>
      <c r="E12" s="12" t="s">
        <v>72</v>
      </c>
    </row>
    <row r="13" spans="1:5" x14ac:dyDescent="0.15">
      <c r="A13" s="11" t="s">
        <v>53</v>
      </c>
      <c r="B13" s="11" t="s">
        <v>89</v>
      </c>
      <c r="C13" s="11"/>
      <c r="D13" s="11"/>
      <c r="E13" s="11" t="s">
        <v>74</v>
      </c>
    </row>
    <row r="14" spans="1:5" x14ac:dyDescent="0.15">
      <c r="A14" s="11" t="s">
        <v>54</v>
      </c>
      <c r="B14" s="11" t="s">
        <v>90</v>
      </c>
      <c r="C14" s="11"/>
      <c r="D14" s="11"/>
      <c r="E14" s="11" t="s">
        <v>74</v>
      </c>
    </row>
    <row r="15" spans="1:5" ht="15" x14ac:dyDescent="0.2">
      <c r="A15" s="11" t="s">
        <v>50</v>
      </c>
      <c r="B15" s="13" t="s">
        <v>86</v>
      </c>
      <c r="C15" s="11"/>
      <c r="D15" s="11"/>
      <c r="E15" s="12" t="s">
        <v>72</v>
      </c>
    </row>
    <row r="16" spans="1:5" x14ac:dyDescent="0.15">
      <c r="A16" s="11" t="s">
        <v>57</v>
      </c>
      <c r="B16" s="11" t="s">
        <v>93</v>
      </c>
      <c r="C16" s="11"/>
      <c r="D16" s="11"/>
      <c r="E16" s="11" t="s">
        <v>74</v>
      </c>
    </row>
    <row r="17" spans="1:5" x14ac:dyDescent="0.15">
      <c r="A17" s="11" t="s">
        <v>58</v>
      </c>
      <c r="B17" s="11" t="s">
        <v>80</v>
      </c>
      <c r="C17" s="11" t="s">
        <v>43</v>
      </c>
      <c r="D17" s="11">
        <v>2025</v>
      </c>
      <c r="E17" s="11" t="s">
        <v>74</v>
      </c>
    </row>
    <row r="18" spans="1:5" x14ac:dyDescent="0.15">
      <c r="A18" s="11" t="s">
        <v>60</v>
      </c>
      <c r="B18" s="11" t="s">
        <v>81</v>
      </c>
      <c r="C18" s="11" t="s">
        <v>43</v>
      </c>
      <c r="D18" s="11">
        <v>2025</v>
      </c>
      <c r="E18" s="11" t="s">
        <v>74</v>
      </c>
    </row>
    <row r="19" spans="1:5" x14ac:dyDescent="0.15">
      <c r="A19" s="11" t="s">
        <v>61</v>
      </c>
      <c r="B19" s="11" t="s">
        <v>83</v>
      </c>
      <c r="C19" s="11" t="s">
        <v>43</v>
      </c>
      <c r="D19" s="11">
        <v>2025</v>
      </c>
      <c r="E19" s="11" t="s">
        <v>74</v>
      </c>
    </row>
    <row r="20" spans="1:5" x14ac:dyDescent="0.15">
      <c r="A20" s="11" t="s">
        <v>59</v>
      </c>
      <c r="B20" s="11" t="s">
        <v>82</v>
      </c>
      <c r="C20" s="11" t="s">
        <v>43</v>
      </c>
      <c r="D20" s="11">
        <v>2025</v>
      </c>
      <c r="E20" s="11" t="s">
        <v>74</v>
      </c>
    </row>
    <row r="21" spans="1:5" x14ac:dyDescent="0.15">
      <c r="A21" s="11" t="s">
        <v>62</v>
      </c>
      <c r="B21" s="11" t="s">
        <v>84</v>
      </c>
      <c r="C21" s="11" t="s">
        <v>43</v>
      </c>
      <c r="D21" s="11">
        <v>2025</v>
      </c>
      <c r="E21" s="11" t="s">
        <v>74</v>
      </c>
    </row>
    <row r="22" spans="1:5" x14ac:dyDescent="0.15">
      <c r="A22" s="11" t="s">
        <v>63</v>
      </c>
      <c r="B22" s="11" t="s">
        <v>85</v>
      </c>
      <c r="C22" s="11"/>
      <c r="D22" s="11"/>
      <c r="E22" s="11" t="s">
        <v>74</v>
      </c>
    </row>
    <row r="23" spans="1:5" x14ac:dyDescent="0.15">
      <c r="A23" s="11" t="s">
        <v>55</v>
      </c>
      <c r="B23" s="11" t="s">
        <v>88</v>
      </c>
      <c r="C23" s="11"/>
      <c r="D23" s="11"/>
      <c r="E23" s="11" t="s">
        <v>74</v>
      </c>
    </row>
    <row r="24" spans="1:5" x14ac:dyDescent="0.15">
      <c r="A24" s="11" t="s">
        <v>56</v>
      </c>
      <c r="B24" s="11" t="s">
        <v>87</v>
      </c>
      <c r="C24" s="11"/>
      <c r="D24" s="11"/>
      <c r="E24" s="11" t="s">
        <v>74</v>
      </c>
    </row>
  </sheetData>
  <dataValidations count="1">
    <dataValidation type="list" allowBlank="1" showErrorMessage="1" sqref="D1" xr:uid="{F68FAB63-11D7-B644-94D6-1E5D3DFE4D6E}">
      <formula1>"Kelp counts,Star survey,Urchins,Benthic inverts,Groundtruthing,Rugosity,Fish"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DiCicco</dc:creator>
  <cp:lastModifiedBy>Julia DiCicco</cp:lastModifiedBy>
  <dcterms:created xsi:type="dcterms:W3CDTF">2026-08-09T18:37:01Z</dcterms:created>
  <dcterms:modified xsi:type="dcterms:W3CDTF">2026-09-03T13:42:45Z</dcterms:modified>
</cp:coreProperties>
</file>