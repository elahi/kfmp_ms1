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/Desktop/"/>
    </mc:Choice>
  </mc:AlternateContent>
  <xr:revisionPtr revIDLastSave="0" documentId="8_{57576FD3-2F11-D74A-A3C0-6128F2018D24}" xr6:coauthVersionLast="47" xr6:coauthVersionMax="47" xr10:uidLastSave="{00000000-0000-0000-0000-000000000000}"/>
  <bookViews>
    <workbookView xWindow="0" yWindow="660" windowWidth="30240" windowHeight="17820" xr2:uid="{D929E839-2B23-E141-98F6-2C625DDC9725}"/>
  </bookViews>
  <sheets>
    <sheet name="data" sheetId="1" r:id="rId1"/>
    <sheet name="meta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7" i="1"/>
  <c r="V8" i="1"/>
  <c r="V9" i="1"/>
  <c r="V10" i="1"/>
  <c r="V11" i="1"/>
  <c r="V12" i="1"/>
  <c r="V13" i="1"/>
  <c r="V14" i="1"/>
  <c r="V17" i="1"/>
  <c r="V18" i="1"/>
  <c r="V19" i="1"/>
  <c r="V20" i="1"/>
  <c r="V21" i="1"/>
  <c r="V22" i="1"/>
  <c r="V23" i="1"/>
  <c r="V24" i="1"/>
  <c r="V25" i="1"/>
  <c r="V26" i="1"/>
  <c r="V27" i="1"/>
  <c r="V29" i="1"/>
  <c r="V30" i="1"/>
  <c r="V32" i="1"/>
  <c r="V33" i="1"/>
  <c r="V34" i="1"/>
  <c r="V2" i="1"/>
  <c r="U3" i="1"/>
  <c r="U4" i="1"/>
  <c r="U5" i="1"/>
  <c r="U7" i="1"/>
  <c r="U8" i="1"/>
  <c r="U9" i="1"/>
  <c r="U10" i="1"/>
  <c r="U11" i="1"/>
  <c r="U12" i="1"/>
  <c r="U13" i="1"/>
  <c r="U14" i="1"/>
  <c r="U17" i="1"/>
  <c r="U18" i="1"/>
  <c r="U19" i="1"/>
  <c r="U20" i="1"/>
  <c r="U21" i="1"/>
  <c r="U22" i="1"/>
  <c r="U23" i="1"/>
  <c r="U24" i="1"/>
  <c r="U25" i="1"/>
  <c r="U26" i="1"/>
  <c r="U27" i="1"/>
  <c r="U29" i="1"/>
  <c r="U30" i="1"/>
  <c r="U32" i="1"/>
  <c r="U33" i="1"/>
  <c r="U34" i="1"/>
  <c r="U2" i="1"/>
  <c r="W4" i="1"/>
  <c r="W3" i="1"/>
  <c r="W5" i="1"/>
  <c r="W7" i="1"/>
  <c r="W8" i="1"/>
  <c r="W9" i="1"/>
  <c r="W10" i="1"/>
  <c r="W11" i="1"/>
  <c r="W12" i="1"/>
  <c r="W13" i="1"/>
  <c r="W14" i="1"/>
  <c r="W17" i="1"/>
  <c r="W18" i="1"/>
  <c r="W19" i="1"/>
  <c r="W20" i="1"/>
  <c r="W21" i="1"/>
  <c r="W22" i="1"/>
  <c r="W23" i="1"/>
  <c r="W24" i="1"/>
  <c r="W25" i="1"/>
  <c r="W26" i="1"/>
  <c r="W27" i="1"/>
  <c r="W29" i="1"/>
  <c r="W30" i="1"/>
  <c r="W31" i="1"/>
  <c r="W32" i="1"/>
  <c r="W33" i="1"/>
  <c r="W34" i="1"/>
  <c r="W2" i="1"/>
  <c r="F3" i="1"/>
  <c r="M3" i="1" s="1"/>
  <c r="F4" i="1"/>
  <c r="M4" i="1" s="1"/>
  <c r="F5" i="1"/>
  <c r="M5" i="1" s="1"/>
  <c r="F7" i="1"/>
  <c r="M7" i="1" s="1"/>
  <c r="F8" i="1"/>
  <c r="L8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L22" i="1" s="1"/>
  <c r="F23" i="1"/>
  <c r="M23" i="1" s="1"/>
  <c r="F24" i="1"/>
  <c r="M24" i="1" s="1"/>
  <c r="F25" i="1"/>
  <c r="M25" i="1" s="1"/>
  <c r="F26" i="1"/>
  <c r="M26" i="1" s="1"/>
  <c r="F27" i="1"/>
  <c r="L27" i="1" s="1"/>
  <c r="F28" i="1"/>
  <c r="M28" i="1" s="1"/>
  <c r="F29" i="1"/>
  <c r="M29" i="1" s="1"/>
  <c r="F30" i="1"/>
  <c r="M30" i="1" s="1"/>
  <c r="F31" i="1"/>
  <c r="M31" i="1" s="1"/>
  <c r="F32" i="1"/>
  <c r="M32" i="1" s="1"/>
  <c r="F33" i="1"/>
  <c r="M33" i="1" s="1"/>
  <c r="F34" i="1"/>
  <c r="L34" i="1" s="1"/>
  <c r="F2" i="1"/>
  <c r="L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2" i="1"/>
  <c r="L18" i="1" l="1"/>
  <c r="M27" i="1"/>
  <c r="L17" i="1"/>
  <c r="L21" i="1"/>
  <c r="L20" i="1"/>
  <c r="L29" i="1"/>
  <c r="L19" i="1"/>
  <c r="M14" i="1"/>
  <c r="M13" i="1"/>
  <c r="L33" i="1"/>
  <c r="L32" i="1"/>
  <c r="L7" i="1"/>
  <c r="L30" i="1"/>
  <c r="L5" i="1"/>
  <c r="L4" i="1"/>
  <c r="L28" i="1"/>
  <c r="L3" i="1"/>
  <c r="M11" i="1"/>
  <c r="M10" i="1"/>
  <c r="M2" i="1"/>
  <c r="M9" i="1"/>
  <c r="M34" i="1"/>
  <c r="M8" i="1"/>
  <c r="L26" i="1"/>
  <c r="L25" i="1"/>
  <c r="L24" i="1"/>
  <c r="L23" i="1"/>
  <c r="M12" i="1"/>
  <c r="M22" i="1"/>
</calcChain>
</file>

<file path=xl/sharedStrings.xml><?xml version="1.0" encoding="utf-8"?>
<sst xmlns="http://schemas.openxmlformats.org/spreadsheetml/2006/main" count="238" uniqueCount="118">
  <si>
    <t>diver2</t>
  </si>
  <si>
    <t>transect_id</t>
  </si>
  <si>
    <t>swath_area_star</t>
  </si>
  <si>
    <t>swath_area_patiria</t>
  </si>
  <si>
    <t>Taradash</t>
  </si>
  <si>
    <t>Donald</t>
  </si>
  <si>
    <t>luca39_2022-07-11_t1</t>
  </si>
  <si>
    <t>Persad</t>
  </si>
  <si>
    <t>Hodder</t>
  </si>
  <si>
    <t>luca51_2022-07-11_t1</t>
  </si>
  <si>
    <t>mont71_2022-07-11_t1</t>
  </si>
  <si>
    <t>char95_2022-07-12_t1</t>
  </si>
  <si>
    <t>davi89_2022-07-12_t1</t>
  </si>
  <si>
    <t>davi90_2022-07-12_t1</t>
  </si>
  <si>
    <t>Schnurle</t>
  </si>
  <si>
    <t>hms070_2022-07-18_t1</t>
  </si>
  <si>
    <t>hms100_2022-07-18_t1</t>
  </si>
  <si>
    <t>ottrpt_2022-07-18_t1</t>
  </si>
  <si>
    <t>ottrpt_2022-07-18_t2</t>
  </si>
  <si>
    <t>ottrpt_2022-07-18_t3</t>
  </si>
  <si>
    <t>Fairlie</t>
  </si>
  <si>
    <t>Duda</t>
  </si>
  <si>
    <t>hms150_2023-07-14_t1</t>
  </si>
  <si>
    <t>Wallace</t>
  </si>
  <si>
    <t>hms050_2023-07-14_t1</t>
  </si>
  <si>
    <t>Mattioli</t>
  </si>
  <si>
    <t>cabr77_2023-07-18_t1</t>
  </si>
  <si>
    <t>davi86_2023-07-18_t2</t>
  </si>
  <si>
    <t>luca40_2023-07-20_t1</t>
  </si>
  <si>
    <t>Walters</t>
  </si>
  <si>
    <t>hms_prot_edge4_2023-07-21_t1</t>
  </si>
  <si>
    <t>Johnson</t>
  </si>
  <si>
    <t>bird_rock_2023-08-30_t1</t>
  </si>
  <si>
    <t>bird_rock_2023-10-27_t1</t>
  </si>
  <si>
    <t>Toussaint</t>
  </si>
  <si>
    <t>asil09_2025-07-08_t1</t>
  </si>
  <si>
    <t>column_name</t>
  </si>
  <si>
    <t>description</t>
  </si>
  <si>
    <t>concatenated site-date-transect id</t>
  </si>
  <si>
    <t>area of rectangular swath in which seastars were counted (m2)</t>
  </si>
  <si>
    <t>area of rectangular swath in which Patiria miniata were counted (m2)</t>
  </si>
  <si>
    <t>observer</t>
  </si>
  <si>
    <t>year_collected</t>
  </si>
  <si>
    <t>Julia DiCicco</t>
  </si>
  <si>
    <t>patiria_min_diver</t>
  </si>
  <si>
    <t>dermasterias_imb_diver</t>
  </si>
  <si>
    <t>henricia_spp_diver</t>
  </si>
  <si>
    <t>pisaster_gig_diver</t>
  </si>
  <si>
    <t>leptasterias_hex_diver</t>
  </si>
  <si>
    <t>2022-2023, 2025</t>
  </si>
  <si>
    <t>video_area</t>
  </si>
  <si>
    <t>star_area_standardization_factor</t>
  </si>
  <si>
    <t>patiria_area_standardization_factor</t>
  </si>
  <si>
    <t>total_diver_stars_standardized</t>
  </si>
  <si>
    <t>diver_patiria_standardized</t>
  </si>
  <si>
    <t>video_stars_standardized</t>
  </si>
  <si>
    <t>video_patiria_standardized</t>
  </si>
  <si>
    <t>video_area_standardization_factor</t>
  </si>
  <si>
    <t>video_patiria_min_counts</t>
  </si>
  <si>
    <t>video_pisaster_gig_counts</t>
  </si>
  <si>
    <t>video_dermasterias_imb_counts</t>
  </si>
  <si>
    <t>video_henricia_spp_counts</t>
  </si>
  <si>
    <t>video_leptasterias_hex_counts</t>
  </si>
  <si>
    <t>video_total_counts</t>
  </si>
  <si>
    <t>last name of diver 2 (completes SCUBA star survey)</t>
  </si>
  <si>
    <t>diver_total_stars_standardized</t>
  </si>
  <si>
    <t>diver_patiria_min_counts</t>
  </si>
  <si>
    <t>diver_dermasterias_imb_counts</t>
  </si>
  <si>
    <t>diver_henricia_spp_counts</t>
  </si>
  <si>
    <t>diver_pisaster_gig_counts</t>
  </si>
  <si>
    <t>diver_leptasterias_hex_counts</t>
  </si>
  <si>
    <t>video_total_stars_standardized</t>
  </si>
  <si>
    <t>kfmp_transect_video_metadata_251016</t>
  </si>
  <si>
    <t>source_datasheet</t>
  </si>
  <si>
    <t>new data</t>
  </si>
  <si>
    <t>diver count of Dermasterias imbricata</t>
  </si>
  <si>
    <t>diver count of Henricia spp</t>
  </si>
  <si>
    <t>diver count of Pisaster giganteus</t>
  </si>
  <si>
    <t>diver count of Leptasterias hexactis</t>
  </si>
  <si>
    <t>diver count of Patiria miniata</t>
  </si>
  <si>
    <t>count of Patiria miniata within 15 m^2 video swath</t>
  </si>
  <si>
    <t>count of Dermasterias imbricata within 15 m^2 video swath</t>
  </si>
  <si>
    <t>count of Pisaster giganteus within 15 m^2 video swath</t>
  </si>
  <si>
    <t>count of Henricia spp within 15 m^2 video swath</t>
  </si>
  <si>
    <t>count of Leptasterias hexactis within 15 m^2 video swath</t>
  </si>
  <si>
    <t>sum of video star counts across species</t>
  </si>
  <si>
    <t>area of rectangular swath captured by the video transect</t>
  </si>
  <si>
    <t>video count of Patiria multiplied by video_area_standardization_factor to standardize survey area to 60 m^2</t>
  </si>
  <si>
    <t>video count of total stars multiplied by video_area_standardization_factor to standardize survey area to 60 m^2</t>
  </si>
  <si>
    <t>diver count of total stars multiplied by star_area_standardization_factor to standardize survey area to 60 m^2</t>
  </si>
  <si>
    <t>diver count of patiria multiplied by patiria_area_standardization_factor to standardize survey area to 60 m^2</t>
  </si>
  <si>
    <t>60 m^2 divided by swath_area_patiria, used to account for subsampling</t>
  </si>
  <si>
    <t>60 m^2 divided by swath_area_star, used to account for subsampling</t>
  </si>
  <si>
    <t>60 m^2 divided by video_area, used to standardize counts across different survey methods</t>
  </si>
  <si>
    <t>NA</t>
  </si>
  <si>
    <t>mont69_2022-07-11_t1</t>
  </si>
  <si>
    <t>char94_2022-07-12_t1</t>
  </si>
  <si>
    <t>No Patiria Counted</t>
  </si>
  <si>
    <t>Elkaslasy</t>
  </si>
  <si>
    <t>macabee2023_1_2023-07-12_t2</t>
  </si>
  <si>
    <t>macabee2023_2_2023-07-12_t2</t>
  </si>
  <si>
    <t>Anderson</t>
  </si>
  <si>
    <t>hms050_2023-07-14_t2</t>
  </si>
  <si>
    <t>McClintock</t>
  </si>
  <si>
    <t>cabr76_2023-07-18_t1</t>
  </si>
  <si>
    <t>davi89_2023-07-18_t1</t>
  </si>
  <si>
    <t>luca49_2023-07-20_t1</t>
  </si>
  <si>
    <t>ottr53_2023-07-20_t1</t>
  </si>
  <si>
    <t>ottr55_2023-07-20_t2</t>
  </si>
  <si>
    <t>hms_prot_edge1_2023-07-21_t1</t>
  </si>
  <si>
    <t>hms100_2023-08-30_t1</t>
  </si>
  <si>
    <t>Only Patiria Counted</t>
  </si>
  <si>
    <t>DiCicco</t>
  </si>
  <si>
    <t>asil22_2025-07-08_t1</t>
  </si>
  <si>
    <t>Only Pisaster Counted</t>
  </si>
  <si>
    <t>No Patiria of Leptasterias Counted</t>
  </si>
  <si>
    <t>Camera rig missing half of the cross bar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</si>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</sst>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1" fillId="0" borderId="0" xfId="0" applyFont="1" applyBorder="1"/>
    <xf numFmtId="0" fontId="3" fillId="0" borderId="0" xfId="0" applyFont="1" applyFill="1" applyProtection="1"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2" fillId="0" borderId="0" xfId="0" applyFont="1" applyFill="1"/>
    <xf numFmtId="0" fontId="2" fillId="0" borderId="0" xfId="0" applyFont="1" applyFill="1" applyAlignment="1" applyProtection="1">
      <alignment horizontal="left"/>
      <protection locked="0"/>
    </xf>
    <xf numFmtId="0" fontId="1" fillId="0" borderId="1" xfId="0" applyFont="1" applyBorder="1"/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4B21-96AB-3E48-B73F-BE9E0E9ACC64}">
  <dimension ref="A1:X37"/>
  <sheetViews>
    <sheetView tabSelected="1" zoomScale="83" workbookViewId="0">
      <pane xSplit="1" topLeftCell="B1" activePane="topRight" state="frozen"/>
      <selection pane="topRight" activeCell="U148" sqref="U148"/>
    </sheetView>
  </sheetViews>
  <sheetFormatPr baseColWidth="10" defaultRowHeight="14" x14ac:dyDescent="0.15"/>
  <cols>
    <col min="1" max="1" width="28.33203125" style="2" bestFit="1" customWidth="1"/>
    <col min="2" max="2" width="9.1640625" style="2" bestFit="1" customWidth="1"/>
    <col min="3" max="3" width="15.5" style="2" bestFit="1" customWidth="1"/>
    <col min="4" max="4" width="30.6640625" style="2" bestFit="1" customWidth="1"/>
    <col min="5" max="5" width="17.83203125" style="2" bestFit="1" customWidth="1"/>
    <col min="6" max="6" width="33" style="2" bestFit="1" customWidth="1"/>
    <col min="7" max="7" width="23.83203125" style="2" bestFit="1" customWidth="1"/>
    <col min="8" max="8" width="29.83203125" style="2" bestFit="1" customWidth="1"/>
    <col min="9" max="9" width="25.33203125" style="2" bestFit="1" customWidth="1"/>
    <col min="10" max="10" width="24.83203125" style="2" bestFit="1" customWidth="1"/>
    <col min="11" max="11" width="28.5" style="2" bestFit="1" customWidth="1"/>
    <col min="12" max="12" width="28.83203125" style="2" bestFit="1" customWidth="1"/>
    <col min="13" max="13" width="24.83203125" style="2" bestFit="1" customWidth="1"/>
    <col min="14" max="14" width="10.83203125" style="2" bestFit="1" customWidth="1"/>
    <col min="15" max="15" width="32.33203125" style="2" bestFit="1" customWidth="1"/>
    <col min="16" max="16" width="24.33203125" style="2" bestFit="1" customWidth="1"/>
    <col min="17" max="17" width="30.33203125" style="2" bestFit="1" customWidth="1"/>
    <col min="18" max="18" width="25.83203125" style="2" bestFit="1" customWidth="1"/>
    <col min="19" max="19" width="25.33203125" style="2" bestFit="1" customWidth="1"/>
    <col min="20" max="20" width="29" style="2" bestFit="1" customWidth="1"/>
    <col min="21" max="21" width="29" style="2" customWidth="1"/>
    <col min="22" max="22" width="30.33203125" style="2" bestFit="1" customWidth="1"/>
    <col min="23" max="23" width="29.33203125" style="2" bestFit="1" customWidth="1"/>
    <col min="24" max="24" width="34.5" style="2" bestFit="1" customWidth="1"/>
    <col min="25" max="25" width="14.5" style="2" bestFit="1" customWidth="1"/>
    <col min="26" max="16384" width="10.83203125" style="2"/>
  </cols>
  <sheetData>
    <row r="1" spans="1:24" x14ac:dyDescent="0.15">
      <c r="A1" s="1" t="s">
        <v>1</v>
      </c>
      <c r="B1" s="1" t="s">
        <v>0</v>
      </c>
      <c r="C1" s="1" t="s">
        <v>2</v>
      </c>
      <c r="D1" s="1" t="s">
        <v>51</v>
      </c>
      <c r="E1" s="1" t="s">
        <v>3</v>
      </c>
      <c r="F1" s="1" t="s">
        <v>52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5" t="s">
        <v>65</v>
      </c>
      <c r="M1" s="11" t="s">
        <v>54</v>
      </c>
      <c r="N1" s="1" t="s">
        <v>50</v>
      </c>
      <c r="O1" s="1" t="s">
        <v>57</v>
      </c>
      <c r="P1" s="1" t="s">
        <v>58</v>
      </c>
      <c r="Q1" s="1" t="s">
        <v>60</v>
      </c>
      <c r="R1" s="1" t="s">
        <v>61</v>
      </c>
      <c r="S1" s="1" t="s">
        <v>59</v>
      </c>
      <c r="T1" s="1" t="s">
        <v>62</v>
      </c>
      <c r="U1" s="1" t="s">
        <v>63</v>
      </c>
      <c r="V1" s="1" t="s">
        <v>71</v>
      </c>
      <c r="W1" s="1" t="s">
        <v>56</v>
      </c>
      <c r="X1" s="1" t="s">
        <v>117</v>
      </c>
    </row>
    <row r="2" spans="1:24" x14ac:dyDescent="0.15">
      <c r="A2" s="2" t="s">
        <v>6</v>
      </c>
      <c r="B2" s="2" t="s">
        <v>5</v>
      </c>
      <c r="C2" s="2">
        <v>60</v>
      </c>
      <c r="D2" s="2">
        <f>60/C2</f>
        <v>1</v>
      </c>
      <c r="E2" s="2">
        <v>30</v>
      </c>
      <c r="F2" s="2">
        <f>60/E2</f>
        <v>2</v>
      </c>
      <c r="G2" s="2">
        <v>38</v>
      </c>
      <c r="H2" s="2">
        <v>0</v>
      </c>
      <c r="I2" s="2">
        <v>4</v>
      </c>
      <c r="J2" s="2">
        <v>1</v>
      </c>
      <c r="K2" s="2">
        <v>0</v>
      </c>
      <c r="L2" s="3">
        <f>SUM(G2:K2)*F2</f>
        <v>86</v>
      </c>
      <c r="M2" s="4">
        <f>G2*F2</f>
        <v>76</v>
      </c>
      <c r="N2" s="2">
        <v>15</v>
      </c>
      <c r="O2" s="2">
        <v>4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>
        <f>SUM(P2:T2)</f>
        <v>20</v>
      </c>
      <c r="V2" s="2">
        <f>U2*O2</f>
        <v>80</v>
      </c>
      <c r="W2" s="2">
        <f>P2*O2</f>
        <v>80</v>
      </c>
    </row>
    <row r="3" spans="1:24" x14ac:dyDescent="0.15">
      <c r="A3" s="2" t="s">
        <v>9</v>
      </c>
      <c r="B3" s="2" t="s">
        <v>8</v>
      </c>
      <c r="C3" s="2">
        <v>60</v>
      </c>
      <c r="D3" s="2">
        <f t="shared" ref="D3:D34" si="0">60/C3</f>
        <v>1</v>
      </c>
      <c r="E3" s="2">
        <v>60</v>
      </c>
      <c r="F3" s="2">
        <f t="shared" ref="F3:F34" si="1">60/E3</f>
        <v>1</v>
      </c>
      <c r="G3" s="2">
        <v>58</v>
      </c>
      <c r="H3" s="2">
        <v>0</v>
      </c>
      <c r="I3" s="2">
        <v>0</v>
      </c>
      <c r="J3" s="2">
        <v>0</v>
      </c>
      <c r="K3" s="2">
        <v>0</v>
      </c>
      <c r="L3" s="3">
        <f t="shared" ref="L3:L34" si="2">SUM(G3:K3)*F3</f>
        <v>58</v>
      </c>
      <c r="M3" s="4">
        <f t="shared" ref="M3:M34" si="3">G3*F3</f>
        <v>58</v>
      </c>
      <c r="N3" s="2">
        <v>15</v>
      </c>
      <c r="O3" s="2">
        <v>4</v>
      </c>
      <c r="P3" s="2">
        <v>24</v>
      </c>
      <c r="Q3" s="2">
        <v>0</v>
      </c>
      <c r="R3" s="2">
        <v>2</v>
      </c>
      <c r="S3" s="2">
        <v>0</v>
      </c>
      <c r="T3" s="2">
        <v>0</v>
      </c>
      <c r="U3" s="2">
        <f t="shared" ref="U3:U34" si="4">SUM(P3:T3)</f>
        <v>26</v>
      </c>
      <c r="V3" s="2">
        <f t="shared" ref="V3:V34" si="5">U3*O3</f>
        <v>104</v>
      </c>
      <c r="W3" s="2">
        <f>P3*O3</f>
        <v>96</v>
      </c>
    </row>
    <row r="4" spans="1:24" x14ac:dyDescent="0.15">
      <c r="A4" s="2" t="s">
        <v>95</v>
      </c>
      <c r="B4" s="2" t="s">
        <v>4</v>
      </c>
      <c r="C4" s="2">
        <v>60</v>
      </c>
      <c r="D4" s="2">
        <f t="shared" si="0"/>
        <v>1</v>
      </c>
      <c r="E4" s="2">
        <v>60</v>
      </c>
      <c r="F4" s="2">
        <f t="shared" si="1"/>
        <v>1</v>
      </c>
      <c r="G4" s="2">
        <v>27</v>
      </c>
      <c r="H4" s="2">
        <v>3</v>
      </c>
      <c r="I4" s="2">
        <v>1</v>
      </c>
      <c r="J4" s="2">
        <v>0</v>
      </c>
      <c r="K4" s="2">
        <v>0</v>
      </c>
      <c r="L4" s="3">
        <f t="shared" si="2"/>
        <v>31</v>
      </c>
      <c r="M4" s="4">
        <f t="shared" si="3"/>
        <v>27</v>
      </c>
      <c r="N4" s="2">
        <v>15</v>
      </c>
      <c r="O4" s="2">
        <v>4</v>
      </c>
      <c r="P4" s="2">
        <v>12</v>
      </c>
      <c r="Q4" s="2">
        <v>1</v>
      </c>
      <c r="R4" s="2">
        <v>0</v>
      </c>
      <c r="S4" s="2">
        <v>0</v>
      </c>
      <c r="T4" s="2">
        <v>0</v>
      </c>
      <c r="U4" s="2">
        <f t="shared" si="4"/>
        <v>13</v>
      </c>
      <c r="V4" s="2">
        <f t="shared" si="5"/>
        <v>52</v>
      </c>
      <c r="W4" s="2">
        <f>P4*O4</f>
        <v>48</v>
      </c>
    </row>
    <row r="5" spans="1:24" x14ac:dyDescent="0.15">
      <c r="A5" s="2" t="s">
        <v>10</v>
      </c>
      <c r="B5" s="2" t="s">
        <v>7</v>
      </c>
      <c r="C5" s="2">
        <v>60</v>
      </c>
      <c r="D5" s="2">
        <f t="shared" si="0"/>
        <v>1</v>
      </c>
      <c r="E5" s="2">
        <v>60</v>
      </c>
      <c r="F5" s="2">
        <f t="shared" si="1"/>
        <v>1</v>
      </c>
      <c r="G5" s="2">
        <v>40</v>
      </c>
      <c r="H5" s="2">
        <v>1</v>
      </c>
      <c r="I5" s="2">
        <v>0</v>
      </c>
      <c r="J5" s="2">
        <v>1</v>
      </c>
      <c r="K5" s="2">
        <v>0</v>
      </c>
      <c r="L5" s="3">
        <f t="shared" si="2"/>
        <v>42</v>
      </c>
      <c r="M5" s="4">
        <f t="shared" si="3"/>
        <v>40</v>
      </c>
      <c r="N5" s="2">
        <v>15</v>
      </c>
      <c r="O5" s="2">
        <v>4</v>
      </c>
      <c r="P5" s="2">
        <v>17</v>
      </c>
      <c r="Q5" s="2">
        <v>0</v>
      </c>
      <c r="R5" s="2">
        <v>0</v>
      </c>
      <c r="S5" s="2">
        <v>0</v>
      </c>
      <c r="T5" s="2">
        <v>0</v>
      </c>
      <c r="U5" s="2">
        <f t="shared" si="4"/>
        <v>17</v>
      </c>
      <c r="V5" s="2">
        <f t="shared" si="5"/>
        <v>68</v>
      </c>
      <c r="W5" s="2">
        <f>P5*O5</f>
        <v>68</v>
      </c>
    </row>
    <row r="6" spans="1:24" x14ac:dyDescent="0.15">
      <c r="A6" s="2" t="s">
        <v>96</v>
      </c>
      <c r="B6" s="2" t="s">
        <v>7</v>
      </c>
      <c r="C6" s="2">
        <v>60</v>
      </c>
      <c r="D6" s="2">
        <f t="shared" si="0"/>
        <v>1</v>
      </c>
      <c r="E6" s="2" t="s">
        <v>94</v>
      </c>
      <c r="F6" s="2" t="s">
        <v>94</v>
      </c>
      <c r="G6" s="2" t="s">
        <v>94</v>
      </c>
      <c r="H6" s="2">
        <v>2</v>
      </c>
      <c r="I6" s="2">
        <v>0</v>
      </c>
      <c r="J6" s="2">
        <v>1</v>
      </c>
      <c r="K6" s="2">
        <v>0</v>
      </c>
      <c r="L6" s="3" t="s">
        <v>94</v>
      </c>
      <c r="M6" s="4" t="s">
        <v>94</v>
      </c>
      <c r="N6" s="2">
        <v>15</v>
      </c>
      <c r="O6" s="2">
        <v>4</v>
      </c>
      <c r="P6" s="2" t="s">
        <v>94</v>
      </c>
      <c r="Q6" s="2">
        <v>2</v>
      </c>
      <c r="R6" s="2">
        <v>1</v>
      </c>
      <c r="S6" s="2">
        <v>2</v>
      </c>
      <c r="T6" s="2">
        <v>0</v>
      </c>
      <c r="U6" s="2" t="s">
        <v>94</v>
      </c>
      <c r="V6" s="2" t="s">
        <v>94</v>
      </c>
      <c r="W6" s="2" t="s">
        <v>94</v>
      </c>
      <c r="X6" s="2" t="s">
        <v>97</v>
      </c>
    </row>
    <row r="7" spans="1:24" x14ac:dyDescent="0.15">
      <c r="A7" s="2" t="s">
        <v>11</v>
      </c>
      <c r="B7" s="2" t="s">
        <v>8</v>
      </c>
      <c r="C7" s="2">
        <v>60</v>
      </c>
      <c r="D7" s="2">
        <f t="shared" si="0"/>
        <v>1</v>
      </c>
      <c r="E7" s="2">
        <v>60</v>
      </c>
      <c r="F7" s="2">
        <f t="shared" si="1"/>
        <v>1</v>
      </c>
      <c r="G7" s="2">
        <v>37</v>
      </c>
      <c r="H7" s="2">
        <v>3</v>
      </c>
      <c r="I7" s="2">
        <v>0</v>
      </c>
      <c r="J7" s="2">
        <v>10</v>
      </c>
      <c r="K7" s="2">
        <v>0</v>
      </c>
      <c r="L7" s="3">
        <f t="shared" si="2"/>
        <v>50</v>
      </c>
      <c r="M7" s="4">
        <f t="shared" si="3"/>
        <v>37</v>
      </c>
      <c r="N7" s="2">
        <v>15</v>
      </c>
      <c r="O7" s="2">
        <v>4</v>
      </c>
      <c r="P7" s="2">
        <v>39</v>
      </c>
      <c r="Q7" s="2">
        <v>3</v>
      </c>
      <c r="R7" s="2">
        <v>0</v>
      </c>
      <c r="S7" s="2">
        <v>6</v>
      </c>
      <c r="T7" s="2">
        <v>0</v>
      </c>
      <c r="U7" s="2">
        <f t="shared" si="4"/>
        <v>48</v>
      </c>
      <c r="V7" s="2">
        <f t="shared" si="5"/>
        <v>192</v>
      </c>
      <c r="W7" s="2">
        <f>P7*O7</f>
        <v>156</v>
      </c>
      <c r="X7" s="9"/>
    </row>
    <row r="8" spans="1:24" x14ac:dyDescent="0.15">
      <c r="A8" s="2" t="s">
        <v>12</v>
      </c>
      <c r="B8" s="2" t="s">
        <v>5</v>
      </c>
      <c r="C8" s="2">
        <v>60</v>
      </c>
      <c r="D8" s="2">
        <f t="shared" si="0"/>
        <v>1</v>
      </c>
      <c r="E8" s="2">
        <v>60</v>
      </c>
      <c r="F8" s="2">
        <f t="shared" si="1"/>
        <v>1</v>
      </c>
      <c r="G8" s="2">
        <v>16</v>
      </c>
      <c r="H8" s="2">
        <v>1</v>
      </c>
      <c r="I8" s="2">
        <v>2</v>
      </c>
      <c r="J8" s="2">
        <v>6</v>
      </c>
      <c r="K8" s="2">
        <v>0</v>
      </c>
      <c r="L8" s="3">
        <f t="shared" si="2"/>
        <v>25</v>
      </c>
      <c r="M8" s="4">
        <f t="shared" si="3"/>
        <v>16</v>
      </c>
      <c r="N8" s="2">
        <v>15</v>
      </c>
      <c r="O8" s="2">
        <v>4</v>
      </c>
      <c r="P8" s="2">
        <v>8</v>
      </c>
      <c r="Q8" s="2">
        <v>0</v>
      </c>
      <c r="R8" s="2">
        <v>1</v>
      </c>
      <c r="S8" s="2">
        <v>2</v>
      </c>
      <c r="T8" s="2">
        <v>0</v>
      </c>
      <c r="U8" s="2">
        <f t="shared" si="4"/>
        <v>11</v>
      </c>
      <c r="V8" s="2">
        <f t="shared" si="5"/>
        <v>44</v>
      </c>
      <c r="W8" s="2">
        <f>P8*O8</f>
        <v>32</v>
      </c>
    </row>
    <row r="9" spans="1:24" x14ac:dyDescent="0.15">
      <c r="A9" s="2" t="s">
        <v>13</v>
      </c>
      <c r="B9" s="2" t="s">
        <v>4</v>
      </c>
      <c r="C9" s="2">
        <v>30</v>
      </c>
      <c r="D9" s="2">
        <f t="shared" si="0"/>
        <v>2</v>
      </c>
      <c r="E9" s="2">
        <v>30</v>
      </c>
      <c r="F9" s="2">
        <f t="shared" si="1"/>
        <v>2</v>
      </c>
      <c r="G9" s="2">
        <v>15</v>
      </c>
      <c r="H9" s="2">
        <v>3</v>
      </c>
      <c r="I9" s="2">
        <v>0</v>
      </c>
      <c r="J9" s="2">
        <v>2</v>
      </c>
      <c r="K9" s="2">
        <v>0</v>
      </c>
      <c r="L9" s="3">
        <f t="shared" si="2"/>
        <v>40</v>
      </c>
      <c r="M9" s="4">
        <f t="shared" si="3"/>
        <v>30</v>
      </c>
      <c r="N9" s="2">
        <v>15</v>
      </c>
      <c r="O9" s="2">
        <v>4</v>
      </c>
      <c r="P9" s="2">
        <v>19</v>
      </c>
      <c r="Q9" s="2">
        <v>1</v>
      </c>
      <c r="R9" s="2">
        <v>0</v>
      </c>
      <c r="S9" s="2">
        <v>0</v>
      </c>
      <c r="T9" s="2">
        <v>0</v>
      </c>
      <c r="U9" s="2">
        <f t="shared" si="4"/>
        <v>20</v>
      </c>
      <c r="V9" s="2">
        <f t="shared" si="5"/>
        <v>80</v>
      </c>
      <c r="W9" s="2">
        <f>P9*O9</f>
        <v>76</v>
      </c>
    </row>
    <row r="10" spans="1:24" x14ac:dyDescent="0.15">
      <c r="A10" s="2" t="s">
        <v>15</v>
      </c>
      <c r="B10" s="2" t="s">
        <v>5</v>
      </c>
      <c r="C10" s="2">
        <v>60</v>
      </c>
      <c r="D10" s="2">
        <f t="shared" si="0"/>
        <v>1</v>
      </c>
      <c r="E10" s="2">
        <v>60</v>
      </c>
      <c r="F10" s="2">
        <f t="shared" si="1"/>
        <v>1</v>
      </c>
      <c r="G10" s="2">
        <v>7</v>
      </c>
      <c r="H10" s="2">
        <v>0</v>
      </c>
      <c r="I10" s="2">
        <v>0</v>
      </c>
      <c r="J10" s="2">
        <v>0</v>
      </c>
      <c r="K10" s="2">
        <v>0</v>
      </c>
      <c r="L10" s="3">
        <f t="shared" si="2"/>
        <v>7</v>
      </c>
      <c r="M10" s="4">
        <f t="shared" si="3"/>
        <v>7</v>
      </c>
      <c r="N10" s="2">
        <v>15</v>
      </c>
      <c r="O10" s="2">
        <v>4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f t="shared" si="4"/>
        <v>2</v>
      </c>
      <c r="V10" s="2">
        <f t="shared" si="5"/>
        <v>8</v>
      </c>
      <c r="W10" s="2">
        <f>P10*O10</f>
        <v>8</v>
      </c>
    </row>
    <row r="11" spans="1:24" x14ac:dyDescent="0.15">
      <c r="A11" s="2" t="s">
        <v>16</v>
      </c>
      <c r="B11" s="2" t="s">
        <v>8</v>
      </c>
      <c r="C11" s="2">
        <v>60</v>
      </c>
      <c r="D11" s="2">
        <f t="shared" si="0"/>
        <v>1</v>
      </c>
      <c r="E11" s="2">
        <v>60</v>
      </c>
      <c r="F11" s="2">
        <f t="shared" si="1"/>
        <v>1</v>
      </c>
      <c r="G11" s="2">
        <v>9</v>
      </c>
      <c r="H11" s="2">
        <v>2</v>
      </c>
      <c r="I11" s="2">
        <v>0</v>
      </c>
      <c r="J11" s="2">
        <v>2</v>
      </c>
      <c r="K11" s="2">
        <v>0</v>
      </c>
      <c r="L11" s="3">
        <f t="shared" si="2"/>
        <v>13</v>
      </c>
      <c r="M11" s="4">
        <f t="shared" si="3"/>
        <v>9</v>
      </c>
      <c r="N11" s="2">
        <v>15</v>
      </c>
      <c r="O11" s="2">
        <v>4</v>
      </c>
      <c r="P11" s="2">
        <v>4</v>
      </c>
      <c r="Q11" s="2">
        <v>0</v>
      </c>
      <c r="R11" s="2">
        <v>0</v>
      </c>
      <c r="S11" s="2">
        <v>1</v>
      </c>
      <c r="T11" s="2">
        <v>0</v>
      </c>
      <c r="U11" s="2">
        <f t="shared" si="4"/>
        <v>5</v>
      </c>
      <c r="V11" s="2">
        <f t="shared" si="5"/>
        <v>20</v>
      </c>
      <c r="W11" s="2">
        <f>P11*O11</f>
        <v>16</v>
      </c>
    </row>
    <row r="12" spans="1:24" x14ac:dyDescent="0.15">
      <c r="A12" s="2" t="s">
        <v>17</v>
      </c>
      <c r="B12" s="2" t="s">
        <v>14</v>
      </c>
      <c r="C12" s="2">
        <v>60</v>
      </c>
      <c r="D12" s="2">
        <f t="shared" si="0"/>
        <v>1</v>
      </c>
      <c r="E12" s="2">
        <v>60</v>
      </c>
      <c r="F12" s="2">
        <f t="shared" si="1"/>
        <v>1</v>
      </c>
      <c r="G12" s="2">
        <v>50</v>
      </c>
      <c r="H12" s="2">
        <v>0</v>
      </c>
      <c r="I12" s="2">
        <v>1</v>
      </c>
      <c r="J12" s="2">
        <v>0</v>
      </c>
      <c r="K12" s="2">
        <v>0</v>
      </c>
      <c r="L12" s="3">
        <f t="shared" si="2"/>
        <v>51</v>
      </c>
      <c r="M12" s="4">
        <f t="shared" si="3"/>
        <v>50</v>
      </c>
      <c r="N12" s="2">
        <v>15</v>
      </c>
      <c r="O12" s="2">
        <v>4</v>
      </c>
      <c r="P12" s="2">
        <v>17</v>
      </c>
      <c r="Q12" s="2">
        <v>0</v>
      </c>
      <c r="R12" s="2">
        <v>0</v>
      </c>
      <c r="S12" s="2">
        <v>0</v>
      </c>
      <c r="T12" s="2">
        <v>0</v>
      </c>
      <c r="U12" s="2">
        <f t="shared" si="4"/>
        <v>17</v>
      </c>
      <c r="V12" s="2">
        <f t="shared" si="5"/>
        <v>68</v>
      </c>
      <c r="W12" s="2">
        <f>P12*O12</f>
        <v>68</v>
      </c>
    </row>
    <row r="13" spans="1:24" x14ac:dyDescent="0.15">
      <c r="A13" s="2" t="s">
        <v>18</v>
      </c>
      <c r="B13" s="2" t="s">
        <v>7</v>
      </c>
      <c r="C13" s="2">
        <v>60</v>
      </c>
      <c r="D13" s="2">
        <f t="shared" si="0"/>
        <v>1</v>
      </c>
      <c r="E13" s="2">
        <v>60</v>
      </c>
      <c r="F13" s="2">
        <f t="shared" si="1"/>
        <v>1</v>
      </c>
      <c r="G13" s="2">
        <v>49</v>
      </c>
      <c r="H13" s="2">
        <v>0</v>
      </c>
      <c r="I13" s="2">
        <v>1</v>
      </c>
      <c r="J13" s="2">
        <v>0</v>
      </c>
      <c r="K13" s="2">
        <v>1</v>
      </c>
      <c r="L13" s="3">
        <f t="shared" si="2"/>
        <v>51</v>
      </c>
      <c r="M13" s="4">
        <f t="shared" si="3"/>
        <v>49</v>
      </c>
      <c r="N13" s="2">
        <v>15</v>
      </c>
      <c r="O13" s="2">
        <v>4</v>
      </c>
      <c r="P13" s="2">
        <v>17</v>
      </c>
      <c r="Q13" s="2">
        <v>0</v>
      </c>
      <c r="R13" s="2">
        <v>0</v>
      </c>
      <c r="S13" s="2">
        <v>0</v>
      </c>
      <c r="T13" s="2">
        <v>0</v>
      </c>
      <c r="U13" s="2">
        <f t="shared" si="4"/>
        <v>17</v>
      </c>
      <c r="V13" s="2">
        <f t="shared" si="5"/>
        <v>68</v>
      </c>
      <c r="W13" s="2">
        <f>P13*O13</f>
        <v>68</v>
      </c>
    </row>
    <row r="14" spans="1:24" x14ac:dyDescent="0.15">
      <c r="A14" s="2" t="s">
        <v>19</v>
      </c>
      <c r="B14" s="2" t="s">
        <v>4</v>
      </c>
      <c r="C14" s="2">
        <v>60</v>
      </c>
      <c r="D14" s="2">
        <f t="shared" si="0"/>
        <v>1</v>
      </c>
      <c r="E14" s="2">
        <v>60</v>
      </c>
      <c r="F14" s="2">
        <f t="shared" si="1"/>
        <v>1</v>
      </c>
      <c r="G14" s="2">
        <v>27</v>
      </c>
      <c r="H14" s="2">
        <v>0</v>
      </c>
      <c r="I14" s="2">
        <v>0</v>
      </c>
      <c r="J14" s="2">
        <v>0</v>
      </c>
      <c r="K14" s="2">
        <v>0</v>
      </c>
      <c r="L14" s="3">
        <f t="shared" si="2"/>
        <v>27</v>
      </c>
      <c r="M14" s="4">
        <f t="shared" si="3"/>
        <v>27</v>
      </c>
      <c r="N14" s="2">
        <v>15</v>
      </c>
      <c r="O14" s="2">
        <v>4</v>
      </c>
      <c r="P14" s="2">
        <v>8</v>
      </c>
      <c r="Q14" s="2">
        <v>0</v>
      </c>
      <c r="R14" s="2">
        <v>1</v>
      </c>
      <c r="S14" s="2">
        <v>0</v>
      </c>
      <c r="T14" s="2">
        <v>0</v>
      </c>
      <c r="U14" s="2">
        <f t="shared" si="4"/>
        <v>9</v>
      </c>
      <c r="V14" s="2">
        <f t="shared" si="5"/>
        <v>36</v>
      </c>
      <c r="W14" s="2">
        <f>P14*O14</f>
        <v>32</v>
      </c>
    </row>
    <row r="15" spans="1:24" x14ac:dyDescent="0.15">
      <c r="A15" s="2" t="s">
        <v>99</v>
      </c>
      <c r="B15" s="2" t="s">
        <v>21</v>
      </c>
      <c r="C15" s="2">
        <v>60</v>
      </c>
      <c r="D15" s="2">
        <f t="shared" si="0"/>
        <v>1</v>
      </c>
      <c r="E15" s="2" t="s">
        <v>94</v>
      </c>
      <c r="F15" s="2" t="s">
        <v>94</v>
      </c>
      <c r="G15" s="2" t="s">
        <v>94</v>
      </c>
      <c r="H15" s="2">
        <v>3</v>
      </c>
      <c r="I15" s="2">
        <v>4</v>
      </c>
      <c r="J15" s="2">
        <v>2</v>
      </c>
      <c r="K15" s="2" t="s">
        <v>94</v>
      </c>
      <c r="L15" s="3" t="s">
        <v>94</v>
      </c>
      <c r="M15" s="4" t="s">
        <v>94</v>
      </c>
      <c r="N15" s="2">
        <v>15</v>
      </c>
      <c r="O15" s="2">
        <v>4</v>
      </c>
      <c r="P15" s="2" t="s">
        <v>94</v>
      </c>
      <c r="Q15" s="2">
        <v>0</v>
      </c>
      <c r="R15" s="2">
        <v>4</v>
      </c>
      <c r="S15" s="2">
        <v>0</v>
      </c>
      <c r="T15" s="2">
        <v>0</v>
      </c>
      <c r="U15" s="2" t="s">
        <v>94</v>
      </c>
      <c r="V15" s="2" t="s">
        <v>94</v>
      </c>
      <c r="W15" s="2" t="s">
        <v>94</v>
      </c>
      <c r="X15" s="2" t="s">
        <v>115</v>
      </c>
    </row>
    <row r="16" spans="1:24" x14ac:dyDescent="0.15">
      <c r="A16" s="2" t="s">
        <v>100</v>
      </c>
      <c r="B16" s="2" t="s">
        <v>29</v>
      </c>
      <c r="C16" s="2">
        <v>60</v>
      </c>
      <c r="D16" s="2">
        <f t="shared" si="0"/>
        <v>1</v>
      </c>
      <c r="E16" s="2" t="s">
        <v>94</v>
      </c>
      <c r="F16" s="2" t="s">
        <v>94</v>
      </c>
      <c r="G16" s="2" t="s">
        <v>94</v>
      </c>
      <c r="H16" s="2" t="s">
        <v>94</v>
      </c>
      <c r="I16" s="2" t="s">
        <v>94</v>
      </c>
      <c r="J16" s="2">
        <v>4</v>
      </c>
      <c r="K16" s="2" t="s">
        <v>94</v>
      </c>
      <c r="L16" s="3" t="s">
        <v>94</v>
      </c>
      <c r="M16" s="4" t="s">
        <v>94</v>
      </c>
      <c r="N16" s="2">
        <v>15</v>
      </c>
      <c r="O16" s="2">
        <v>4</v>
      </c>
      <c r="P16" s="2" t="s">
        <v>94</v>
      </c>
      <c r="Q16" s="2">
        <v>1</v>
      </c>
      <c r="R16" s="2">
        <v>0</v>
      </c>
      <c r="S16" s="2">
        <v>0</v>
      </c>
      <c r="T16" s="2">
        <v>0</v>
      </c>
      <c r="U16" s="2" t="s">
        <v>94</v>
      </c>
      <c r="V16" s="2" t="s">
        <v>94</v>
      </c>
      <c r="W16" s="2" t="s">
        <v>94</v>
      </c>
      <c r="X16" s="2" t="s">
        <v>114</v>
      </c>
    </row>
    <row r="17" spans="1:24" x14ac:dyDescent="0.15">
      <c r="A17" s="2" t="s">
        <v>22</v>
      </c>
      <c r="B17" s="2" t="s">
        <v>21</v>
      </c>
      <c r="C17" s="2">
        <v>60</v>
      </c>
      <c r="D17" s="2">
        <f t="shared" si="0"/>
        <v>1</v>
      </c>
      <c r="E17" s="2">
        <v>60</v>
      </c>
      <c r="F17" s="2">
        <f t="shared" si="1"/>
        <v>1</v>
      </c>
      <c r="G17" s="2">
        <v>12</v>
      </c>
      <c r="H17" s="2">
        <v>1</v>
      </c>
      <c r="I17" s="2">
        <v>0</v>
      </c>
      <c r="J17" s="2">
        <v>3</v>
      </c>
      <c r="K17" s="2">
        <v>0</v>
      </c>
      <c r="L17" s="3">
        <f t="shared" si="2"/>
        <v>16</v>
      </c>
      <c r="M17" s="4">
        <f t="shared" si="3"/>
        <v>12</v>
      </c>
      <c r="N17" s="2">
        <v>15</v>
      </c>
      <c r="O17" s="2">
        <v>4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f t="shared" si="4"/>
        <v>2</v>
      </c>
      <c r="V17" s="2">
        <f t="shared" si="5"/>
        <v>8</v>
      </c>
      <c r="W17" s="2">
        <f>P17*O17</f>
        <v>8</v>
      </c>
    </row>
    <row r="18" spans="1:24" x14ac:dyDescent="0.15">
      <c r="A18" s="2" t="s">
        <v>24</v>
      </c>
      <c r="B18" s="2" t="s">
        <v>23</v>
      </c>
      <c r="C18" s="2">
        <v>60</v>
      </c>
      <c r="D18" s="2">
        <f t="shared" si="0"/>
        <v>1</v>
      </c>
      <c r="E18" s="2">
        <v>60</v>
      </c>
      <c r="F18" s="2">
        <f t="shared" si="1"/>
        <v>1</v>
      </c>
      <c r="G18" s="2">
        <v>14</v>
      </c>
      <c r="H18" s="2">
        <v>0</v>
      </c>
      <c r="I18" s="2">
        <v>1</v>
      </c>
      <c r="J18" s="2">
        <v>0</v>
      </c>
      <c r="K18" s="2">
        <v>0</v>
      </c>
      <c r="L18" s="3">
        <f t="shared" si="2"/>
        <v>15</v>
      </c>
      <c r="M18" s="4">
        <f t="shared" si="3"/>
        <v>14</v>
      </c>
      <c r="N18" s="2">
        <v>15</v>
      </c>
      <c r="O18" s="2">
        <v>4</v>
      </c>
      <c r="P18" s="2">
        <v>7</v>
      </c>
      <c r="Q18" s="2">
        <v>0</v>
      </c>
      <c r="R18" s="2">
        <v>0</v>
      </c>
      <c r="S18" s="2">
        <v>0</v>
      </c>
      <c r="T18" s="2">
        <v>0</v>
      </c>
      <c r="U18" s="2">
        <f t="shared" si="4"/>
        <v>7</v>
      </c>
      <c r="V18" s="2">
        <f t="shared" si="5"/>
        <v>28</v>
      </c>
      <c r="W18" s="2">
        <f>P18*O18</f>
        <v>28</v>
      </c>
    </row>
    <row r="19" spans="1:24" x14ac:dyDescent="0.15">
      <c r="A19" s="2" t="s">
        <v>102</v>
      </c>
      <c r="B19" s="2" t="s">
        <v>101</v>
      </c>
      <c r="C19" s="2">
        <v>60</v>
      </c>
      <c r="D19" s="2">
        <f t="shared" si="0"/>
        <v>1</v>
      </c>
      <c r="E19" s="2">
        <v>60</v>
      </c>
      <c r="F19" s="2">
        <f t="shared" si="1"/>
        <v>1</v>
      </c>
      <c r="G19" s="2">
        <v>5</v>
      </c>
      <c r="H19" s="2">
        <v>0</v>
      </c>
      <c r="I19" s="2">
        <v>0</v>
      </c>
      <c r="J19" s="2">
        <v>0</v>
      </c>
      <c r="K19" s="2">
        <v>0</v>
      </c>
      <c r="L19" s="3">
        <f t="shared" si="2"/>
        <v>5</v>
      </c>
      <c r="M19" s="4">
        <f t="shared" si="3"/>
        <v>5</v>
      </c>
      <c r="N19" s="2">
        <v>15</v>
      </c>
      <c r="O19" s="2">
        <v>4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f t="shared" si="4"/>
        <v>3</v>
      </c>
      <c r="V19" s="2">
        <f t="shared" si="5"/>
        <v>12</v>
      </c>
      <c r="W19" s="2">
        <f>P19*O19</f>
        <v>12</v>
      </c>
    </row>
    <row r="20" spans="1:24" x14ac:dyDescent="0.15">
      <c r="A20" s="2" t="s">
        <v>26</v>
      </c>
      <c r="B20" s="2" t="s">
        <v>25</v>
      </c>
      <c r="C20" s="2">
        <v>60</v>
      </c>
      <c r="D20" s="2">
        <f t="shared" si="0"/>
        <v>1</v>
      </c>
      <c r="E20" s="2">
        <v>60</v>
      </c>
      <c r="F20" s="2">
        <f t="shared" si="1"/>
        <v>1</v>
      </c>
      <c r="G20" s="2">
        <v>54</v>
      </c>
      <c r="H20" s="2">
        <v>1</v>
      </c>
      <c r="I20" s="2">
        <v>0</v>
      </c>
      <c r="J20" s="2">
        <v>1</v>
      </c>
      <c r="K20" s="2">
        <v>0</v>
      </c>
      <c r="L20" s="3">
        <f t="shared" si="2"/>
        <v>56</v>
      </c>
      <c r="M20" s="4">
        <f t="shared" si="3"/>
        <v>54</v>
      </c>
      <c r="N20" s="2">
        <v>15</v>
      </c>
      <c r="O20" s="2">
        <v>4</v>
      </c>
      <c r="P20" s="2">
        <v>12</v>
      </c>
      <c r="Q20" s="2">
        <v>0</v>
      </c>
      <c r="R20" s="2">
        <v>0</v>
      </c>
      <c r="S20" s="2">
        <v>0</v>
      </c>
      <c r="T20" s="2">
        <v>0</v>
      </c>
      <c r="U20" s="2">
        <f t="shared" si="4"/>
        <v>12</v>
      </c>
      <c r="V20" s="2">
        <f t="shared" si="5"/>
        <v>48</v>
      </c>
      <c r="W20" s="2">
        <f>P20*O20</f>
        <v>48</v>
      </c>
    </row>
    <row r="21" spans="1:24" x14ac:dyDescent="0.15">
      <c r="A21" s="2" t="s">
        <v>27</v>
      </c>
      <c r="B21" s="2" t="s">
        <v>25</v>
      </c>
      <c r="C21" s="2">
        <v>60</v>
      </c>
      <c r="D21" s="2">
        <f t="shared" si="0"/>
        <v>1</v>
      </c>
      <c r="E21" s="2">
        <v>60</v>
      </c>
      <c r="F21" s="2">
        <f t="shared" si="1"/>
        <v>1</v>
      </c>
      <c r="G21" s="2">
        <v>30</v>
      </c>
      <c r="H21" s="2">
        <v>5</v>
      </c>
      <c r="I21" s="2">
        <v>1</v>
      </c>
      <c r="J21" s="2">
        <v>3</v>
      </c>
      <c r="K21" s="2">
        <v>0</v>
      </c>
      <c r="L21" s="3">
        <f t="shared" si="2"/>
        <v>39</v>
      </c>
      <c r="M21" s="4">
        <f t="shared" si="3"/>
        <v>30</v>
      </c>
      <c r="N21" s="2">
        <v>15</v>
      </c>
      <c r="O21" s="2">
        <v>4</v>
      </c>
      <c r="P21" s="2">
        <v>8</v>
      </c>
      <c r="Q21" s="2">
        <v>1</v>
      </c>
      <c r="R21" s="2">
        <v>0</v>
      </c>
      <c r="S21" s="2">
        <v>0</v>
      </c>
      <c r="T21" s="2">
        <v>0</v>
      </c>
      <c r="U21" s="2">
        <f t="shared" si="4"/>
        <v>9</v>
      </c>
      <c r="V21" s="2">
        <f t="shared" si="5"/>
        <v>36</v>
      </c>
      <c r="W21" s="2">
        <f>P21*O21</f>
        <v>32</v>
      </c>
    </row>
    <row r="22" spans="1:24" x14ac:dyDescent="0.15">
      <c r="A22" s="2" t="s">
        <v>104</v>
      </c>
      <c r="B22" s="2" t="s">
        <v>103</v>
      </c>
      <c r="C22" s="2">
        <v>60</v>
      </c>
      <c r="D22" s="2">
        <f t="shared" si="0"/>
        <v>1</v>
      </c>
      <c r="E22" s="2">
        <v>60</v>
      </c>
      <c r="F22" s="2">
        <f t="shared" si="1"/>
        <v>1</v>
      </c>
      <c r="G22" s="2">
        <v>39</v>
      </c>
      <c r="H22" s="2">
        <v>6</v>
      </c>
      <c r="I22" s="2">
        <v>0</v>
      </c>
      <c r="J22" s="2">
        <v>1</v>
      </c>
      <c r="K22" s="2">
        <v>0</v>
      </c>
      <c r="L22" s="3">
        <f t="shared" si="2"/>
        <v>46</v>
      </c>
      <c r="M22" s="4">
        <f t="shared" si="3"/>
        <v>39</v>
      </c>
      <c r="N22" s="2">
        <v>15</v>
      </c>
      <c r="O22" s="2">
        <v>4</v>
      </c>
      <c r="P22" s="2">
        <v>21</v>
      </c>
      <c r="Q22" s="2">
        <v>1</v>
      </c>
      <c r="R22" s="2">
        <v>0</v>
      </c>
      <c r="S22" s="2">
        <v>0</v>
      </c>
      <c r="T22" s="2">
        <v>0</v>
      </c>
      <c r="U22" s="2">
        <f t="shared" si="4"/>
        <v>22</v>
      </c>
      <c r="V22" s="2">
        <f t="shared" si="5"/>
        <v>88</v>
      </c>
      <c r="W22" s="2">
        <f>P22*O22</f>
        <v>84</v>
      </c>
    </row>
    <row r="23" spans="1:24" x14ac:dyDescent="0.15">
      <c r="A23" s="2" t="s">
        <v>105</v>
      </c>
      <c r="B23" s="2" t="s">
        <v>98</v>
      </c>
      <c r="C23" s="2">
        <v>60</v>
      </c>
      <c r="D23" s="2">
        <f t="shared" si="0"/>
        <v>1</v>
      </c>
      <c r="E23" s="2">
        <v>60</v>
      </c>
      <c r="F23" s="2">
        <f t="shared" si="1"/>
        <v>1</v>
      </c>
      <c r="G23" s="2">
        <v>32</v>
      </c>
      <c r="H23" s="2">
        <v>1</v>
      </c>
      <c r="I23" s="2">
        <v>0</v>
      </c>
      <c r="J23" s="2">
        <v>0</v>
      </c>
      <c r="K23" s="2">
        <v>0</v>
      </c>
      <c r="L23" s="3">
        <f t="shared" si="2"/>
        <v>33</v>
      </c>
      <c r="M23" s="4">
        <f t="shared" si="3"/>
        <v>32</v>
      </c>
      <c r="N23" s="2">
        <v>15</v>
      </c>
      <c r="O23" s="2">
        <v>4</v>
      </c>
      <c r="P23" s="2">
        <v>12</v>
      </c>
      <c r="Q23" s="2">
        <v>0</v>
      </c>
      <c r="R23" s="2">
        <v>0</v>
      </c>
      <c r="S23" s="2">
        <v>0</v>
      </c>
      <c r="T23" s="2">
        <v>0</v>
      </c>
      <c r="U23" s="2">
        <f t="shared" si="4"/>
        <v>12</v>
      </c>
      <c r="V23" s="2">
        <f t="shared" si="5"/>
        <v>48</v>
      </c>
      <c r="W23" s="2">
        <f>P23*O23</f>
        <v>48</v>
      </c>
    </row>
    <row r="24" spans="1:24" x14ac:dyDescent="0.15">
      <c r="A24" s="2" t="s">
        <v>106</v>
      </c>
      <c r="B24" s="2" t="s">
        <v>98</v>
      </c>
      <c r="C24" s="2">
        <v>60</v>
      </c>
      <c r="D24" s="2">
        <f t="shared" si="0"/>
        <v>1</v>
      </c>
      <c r="E24" s="2">
        <v>60</v>
      </c>
      <c r="F24" s="2">
        <f t="shared" si="1"/>
        <v>1</v>
      </c>
      <c r="G24" s="2">
        <v>81</v>
      </c>
      <c r="H24" s="2">
        <v>1</v>
      </c>
      <c r="I24" s="2">
        <v>4</v>
      </c>
      <c r="J24" s="2">
        <v>0</v>
      </c>
      <c r="K24" s="2">
        <v>0</v>
      </c>
      <c r="L24" s="3">
        <f t="shared" si="2"/>
        <v>86</v>
      </c>
      <c r="M24" s="4">
        <f t="shared" si="3"/>
        <v>81</v>
      </c>
      <c r="N24" s="2">
        <v>15</v>
      </c>
      <c r="O24" s="2">
        <v>4</v>
      </c>
      <c r="P24" s="2">
        <v>25</v>
      </c>
      <c r="Q24" s="2">
        <v>1</v>
      </c>
      <c r="R24" s="2">
        <v>0</v>
      </c>
      <c r="S24" s="2">
        <v>1</v>
      </c>
      <c r="T24" s="2">
        <v>0</v>
      </c>
      <c r="U24" s="2">
        <f t="shared" si="4"/>
        <v>27</v>
      </c>
      <c r="V24" s="2">
        <f t="shared" si="5"/>
        <v>108</v>
      </c>
      <c r="W24" s="2">
        <f>P24*O24</f>
        <v>100</v>
      </c>
    </row>
    <row r="25" spans="1:24" x14ac:dyDescent="0.15">
      <c r="A25" s="2" t="s">
        <v>107</v>
      </c>
      <c r="B25" s="2" t="s">
        <v>101</v>
      </c>
      <c r="C25" s="2">
        <v>60</v>
      </c>
      <c r="D25" s="2">
        <f t="shared" si="0"/>
        <v>1</v>
      </c>
      <c r="E25" s="2">
        <v>60</v>
      </c>
      <c r="F25" s="2">
        <f t="shared" si="1"/>
        <v>1</v>
      </c>
      <c r="G25" s="2">
        <v>47</v>
      </c>
      <c r="H25" s="2">
        <v>0</v>
      </c>
      <c r="I25" s="2">
        <v>0</v>
      </c>
      <c r="J25" s="2">
        <v>1</v>
      </c>
      <c r="K25" s="2">
        <v>0</v>
      </c>
      <c r="L25" s="3">
        <f t="shared" si="2"/>
        <v>48</v>
      </c>
      <c r="M25" s="4">
        <f t="shared" si="3"/>
        <v>47</v>
      </c>
      <c r="N25" s="2">
        <v>15</v>
      </c>
      <c r="O25" s="2">
        <v>4</v>
      </c>
      <c r="P25" s="2">
        <v>14</v>
      </c>
      <c r="Q25" s="2">
        <v>0</v>
      </c>
      <c r="R25" s="2">
        <v>0</v>
      </c>
      <c r="S25" s="2">
        <v>1</v>
      </c>
      <c r="T25" s="2">
        <v>0</v>
      </c>
      <c r="U25" s="2">
        <f t="shared" si="4"/>
        <v>15</v>
      </c>
      <c r="V25" s="2">
        <f t="shared" si="5"/>
        <v>60</v>
      </c>
      <c r="W25" s="2">
        <f>P25*O25</f>
        <v>56</v>
      </c>
    </row>
    <row r="26" spans="1:24" x14ac:dyDescent="0.15">
      <c r="A26" s="2" t="s">
        <v>28</v>
      </c>
      <c r="B26" s="2" t="s">
        <v>20</v>
      </c>
      <c r="C26" s="2">
        <v>60</v>
      </c>
      <c r="D26" s="2">
        <f t="shared" si="0"/>
        <v>1</v>
      </c>
      <c r="E26" s="2">
        <v>60</v>
      </c>
      <c r="F26" s="2">
        <f t="shared" si="1"/>
        <v>1</v>
      </c>
      <c r="G26" s="2">
        <v>81</v>
      </c>
      <c r="H26" s="2">
        <v>0</v>
      </c>
      <c r="I26" s="2">
        <v>1</v>
      </c>
      <c r="J26" s="2">
        <v>1</v>
      </c>
      <c r="K26" s="2">
        <v>0</v>
      </c>
      <c r="L26" s="3">
        <f t="shared" si="2"/>
        <v>83</v>
      </c>
      <c r="M26" s="4">
        <f t="shared" si="3"/>
        <v>81</v>
      </c>
      <c r="N26" s="2">
        <v>15</v>
      </c>
      <c r="O26" s="2">
        <v>4</v>
      </c>
      <c r="P26" s="2">
        <v>29</v>
      </c>
      <c r="Q26" s="2">
        <v>0</v>
      </c>
      <c r="R26" s="2">
        <v>0</v>
      </c>
      <c r="S26" s="2">
        <v>0</v>
      </c>
      <c r="T26" s="2">
        <v>0</v>
      </c>
      <c r="U26" s="2">
        <f t="shared" si="4"/>
        <v>29</v>
      </c>
      <c r="V26" s="2">
        <f t="shared" si="5"/>
        <v>116</v>
      </c>
      <c r="W26" s="2">
        <f>P26*O26</f>
        <v>116</v>
      </c>
    </row>
    <row r="27" spans="1:24" x14ac:dyDescent="0.15">
      <c r="A27" s="2" t="s">
        <v>108</v>
      </c>
      <c r="B27" s="2" t="s">
        <v>23</v>
      </c>
      <c r="C27" s="2">
        <v>60</v>
      </c>
      <c r="D27" s="2">
        <f t="shared" si="0"/>
        <v>1</v>
      </c>
      <c r="E27" s="2">
        <v>60</v>
      </c>
      <c r="F27" s="2">
        <f t="shared" si="1"/>
        <v>1</v>
      </c>
      <c r="G27" s="2">
        <v>54</v>
      </c>
      <c r="H27" s="2">
        <v>1</v>
      </c>
      <c r="I27" s="2">
        <v>1</v>
      </c>
      <c r="J27" s="2">
        <v>4</v>
      </c>
      <c r="K27" s="2">
        <v>0</v>
      </c>
      <c r="L27" s="3">
        <f t="shared" si="2"/>
        <v>60</v>
      </c>
      <c r="M27" s="4">
        <f t="shared" si="3"/>
        <v>54</v>
      </c>
      <c r="N27" s="2">
        <v>15</v>
      </c>
      <c r="O27" s="2">
        <v>4</v>
      </c>
      <c r="P27" s="2">
        <v>11</v>
      </c>
      <c r="Q27" s="2">
        <v>3</v>
      </c>
      <c r="R27" s="2">
        <v>0</v>
      </c>
      <c r="S27" s="2">
        <v>1</v>
      </c>
      <c r="T27" s="2">
        <v>0</v>
      </c>
      <c r="U27" s="2">
        <f t="shared" si="4"/>
        <v>15</v>
      </c>
      <c r="V27" s="2">
        <f t="shared" si="5"/>
        <v>60</v>
      </c>
      <c r="W27" s="2">
        <f>P27*O27</f>
        <v>44</v>
      </c>
    </row>
    <row r="28" spans="1:24" x14ac:dyDescent="0.15">
      <c r="A28" s="2" t="s">
        <v>109</v>
      </c>
      <c r="B28" s="2" t="s">
        <v>98</v>
      </c>
      <c r="C28" s="2">
        <v>60</v>
      </c>
      <c r="D28" s="2">
        <f t="shared" si="0"/>
        <v>1</v>
      </c>
      <c r="E28" s="2">
        <v>60</v>
      </c>
      <c r="F28" s="2">
        <f t="shared" si="1"/>
        <v>1</v>
      </c>
      <c r="G28" s="2">
        <v>17</v>
      </c>
      <c r="H28" s="2">
        <v>1</v>
      </c>
      <c r="I28" s="2">
        <v>0</v>
      </c>
      <c r="J28" s="2">
        <v>0</v>
      </c>
      <c r="K28" s="2">
        <v>1</v>
      </c>
      <c r="L28" s="3">
        <f t="shared" si="2"/>
        <v>19</v>
      </c>
      <c r="M28" s="4">
        <f t="shared" si="3"/>
        <v>17</v>
      </c>
      <c r="N28" s="2">
        <v>15</v>
      </c>
      <c r="O28" s="2">
        <v>4</v>
      </c>
      <c r="P28" s="2" t="s">
        <v>94</v>
      </c>
      <c r="Q28" s="2" t="s">
        <v>94</v>
      </c>
      <c r="R28" s="2" t="s">
        <v>94</v>
      </c>
      <c r="S28" s="2" t="s">
        <v>94</v>
      </c>
      <c r="T28" s="2" t="s">
        <v>94</v>
      </c>
      <c r="U28" s="2" t="s">
        <v>94</v>
      </c>
      <c r="V28" s="2" t="s">
        <v>94</v>
      </c>
      <c r="W28" s="2" t="s">
        <v>94</v>
      </c>
      <c r="X28" s="2" t="s">
        <v>116</v>
      </c>
    </row>
    <row r="29" spans="1:24" x14ac:dyDescent="0.15">
      <c r="A29" s="2" t="s">
        <v>30</v>
      </c>
      <c r="B29" s="2" t="s">
        <v>29</v>
      </c>
      <c r="C29" s="2">
        <v>60</v>
      </c>
      <c r="D29" s="2">
        <f t="shared" si="0"/>
        <v>1</v>
      </c>
      <c r="E29" s="2">
        <v>60</v>
      </c>
      <c r="F29" s="2">
        <f t="shared" si="1"/>
        <v>1</v>
      </c>
      <c r="G29" s="2">
        <v>64</v>
      </c>
      <c r="H29" s="2">
        <v>1</v>
      </c>
      <c r="I29" s="2">
        <v>0</v>
      </c>
      <c r="J29" s="2">
        <v>6</v>
      </c>
      <c r="K29" s="2">
        <v>0</v>
      </c>
      <c r="L29" s="3">
        <f t="shared" si="2"/>
        <v>71</v>
      </c>
      <c r="M29" s="4">
        <f t="shared" si="3"/>
        <v>64</v>
      </c>
      <c r="N29" s="2">
        <v>15</v>
      </c>
      <c r="O29" s="2">
        <v>4</v>
      </c>
      <c r="P29" s="2">
        <v>21</v>
      </c>
      <c r="Q29" s="2">
        <v>0</v>
      </c>
      <c r="R29" s="2">
        <v>0</v>
      </c>
      <c r="S29" s="2">
        <v>2</v>
      </c>
      <c r="T29" s="2">
        <v>0</v>
      </c>
      <c r="U29" s="2">
        <f t="shared" si="4"/>
        <v>23</v>
      </c>
      <c r="V29" s="2">
        <f t="shared" si="5"/>
        <v>92</v>
      </c>
      <c r="W29" s="2">
        <f>P29*O29</f>
        <v>84</v>
      </c>
    </row>
    <row r="30" spans="1:24" x14ac:dyDescent="0.15">
      <c r="A30" s="2" t="s">
        <v>32</v>
      </c>
      <c r="B30" s="2" t="s">
        <v>31</v>
      </c>
      <c r="C30" s="2">
        <v>60</v>
      </c>
      <c r="D30" s="2">
        <f t="shared" si="0"/>
        <v>1</v>
      </c>
      <c r="E30" s="2">
        <v>60</v>
      </c>
      <c r="F30" s="2">
        <f t="shared" si="1"/>
        <v>1</v>
      </c>
      <c r="G30" s="2">
        <v>17</v>
      </c>
      <c r="H30" s="2">
        <v>0</v>
      </c>
      <c r="I30" s="2">
        <v>0</v>
      </c>
      <c r="J30" s="2">
        <v>1</v>
      </c>
      <c r="K30" s="2">
        <v>0</v>
      </c>
      <c r="L30" s="3">
        <f t="shared" si="2"/>
        <v>18</v>
      </c>
      <c r="M30" s="4">
        <f t="shared" si="3"/>
        <v>17</v>
      </c>
      <c r="N30" s="2">
        <v>15</v>
      </c>
      <c r="O30" s="2">
        <v>4</v>
      </c>
      <c r="P30" s="2">
        <v>12</v>
      </c>
      <c r="Q30" s="2">
        <v>0</v>
      </c>
      <c r="R30" s="2">
        <v>0</v>
      </c>
      <c r="S30" s="2">
        <v>0</v>
      </c>
      <c r="T30" s="2">
        <v>0</v>
      </c>
      <c r="U30" s="2">
        <f t="shared" si="4"/>
        <v>12</v>
      </c>
      <c r="V30" s="2">
        <f t="shared" si="5"/>
        <v>48</v>
      </c>
      <c r="W30" s="2">
        <f>P30*O30</f>
        <v>48</v>
      </c>
    </row>
    <row r="31" spans="1:24" x14ac:dyDescent="0.15">
      <c r="A31" s="2" t="s">
        <v>110</v>
      </c>
      <c r="B31" s="2" t="s">
        <v>31</v>
      </c>
      <c r="C31" s="2" t="s">
        <v>94</v>
      </c>
      <c r="D31" s="2" t="s">
        <v>94</v>
      </c>
      <c r="E31" s="2">
        <v>60</v>
      </c>
      <c r="F31" s="2">
        <f t="shared" si="1"/>
        <v>1</v>
      </c>
      <c r="G31" s="2">
        <v>8</v>
      </c>
      <c r="H31" s="2" t="s">
        <v>94</v>
      </c>
      <c r="I31" s="2" t="s">
        <v>94</v>
      </c>
      <c r="J31" s="2" t="s">
        <v>94</v>
      </c>
      <c r="K31" s="2" t="s">
        <v>94</v>
      </c>
      <c r="L31" s="3" t="s">
        <v>94</v>
      </c>
      <c r="M31" s="4">
        <f t="shared" si="3"/>
        <v>8</v>
      </c>
      <c r="N31" s="2">
        <v>15</v>
      </c>
      <c r="O31" s="2">
        <v>4</v>
      </c>
      <c r="P31" s="2">
        <v>5</v>
      </c>
      <c r="Q31" s="2" t="s">
        <v>94</v>
      </c>
      <c r="R31" s="2" t="s">
        <v>94</v>
      </c>
      <c r="S31" s="2" t="s">
        <v>94</v>
      </c>
      <c r="T31" s="2" t="s">
        <v>94</v>
      </c>
      <c r="U31" s="2" t="s">
        <v>94</v>
      </c>
      <c r="V31" s="2" t="s">
        <v>94</v>
      </c>
      <c r="W31" s="2">
        <f>P31*O31</f>
        <v>20</v>
      </c>
      <c r="X31" s="2" t="s">
        <v>111</v>
      </c>
    </row>
    <row r="32" spans="1:24" x14ac:dyDescent="0.15">
      <c r="A32" s="2" t="s">
        <v>33</v>
      </c>
      <c r="B32" s="2" t="s">
        <v>29</v>
      </c>
      <c r="C32" s="2">
        <v>60</v>
      </c>
      <c r="D32" s="2">
        <f t="shared" si="0"/>
        <v>1</v>
      </c>
      <c r="E32" s="2">
        <v>60</v>
      </c>
      <c r="F32" s="2">
        <f t="shared" si="1"/>
        <v>1</v>
      </c>
      <c r="G32" s="2">
        <v>42</v>
      </c>
      <c r="H32" s="2">
        <v>0</v>
      </c>
      <c r="I32" s="2">
        <v>2</v>
      </c>
      <c r="J32" s="2">
        <v>0</v>
      </c>
      <c r="K32" s="2">
        <v>0</v>
      </c>
      <c r="L32" s="3">
        <f t="shared" si="2"/>
        <v>44</v>
      </c>
      <c r="M32" s="4">
        <f t="shared" si="3"/>
        <v>42</v>
      </c>
      <c r="N32" s="2">
        <v>15</v>
      </c>
      <c r="O32" s="2">
        <v>4</v>
      </c>
      <c r="P32" s="2">
        <v>10</v>
      </c>
      <c r="Q32" s="2">
        <v>0</v>
      </c>
      <c r="R32" s="2">
        <v>0</v>
      </c>
      <c r="S32" s="2">
        <v>0</v>
      </c>
      <c r="T32" s="2">
        <v>0</v>
      </c>
      <c r="U32" s="2">
        <f t="shared" si="4"/>
        <v>10</v>
      </c>
      <c r="V32" s="2">
        <f t="shared" si="5"/>
        <v>40</v>
      </c>
      <c r="W32" s="2">
        <f>P32*O32</f>
        <v>40</v>
      </c>
    </row>
    <row r="33" spans="1:23" x14ac:dyDescent="0.15">
      <c r="A33" s="2" t="s">
        <v>35</v>
      </c>
      <c r="B33" s="2" t="s">
        <v>34</v>
      </c>
      <c r="C33" s="2">
        <v>60</v>
      </c>
      <c r="D33" s="2">
        <f t="shared" si="0"/>
        <v>1</v>
      </c>
      <c r="E33" s="2">
        <v>60</v>
      </c>
      <c r="F33" s="2">
        <f t="shared" si="1"/>
        <v>1</v>
      </c>
      <c r="G33" s="2">
        <v>150</v>
      </c>
      <c r="H33" s="2">
        <v>0</v>
      </c>
      <c r="I33" s="2">
        <v>7</v>
      </c>
      <c r="J33" s="2">
        <v>3</v>
      </c>
      <c r="K33" s="2">
        <v>0</v>
      </c>
      <c r="L33" s="3">
        <f t="shared" si="2"/>
        <v>160</v>
      </c>
      <c r="M33" s="4">
        <f t="shared" si="3"/>
        <v>150</v>
      </c>
      <c r="N33" s="2">
        <v>15</v>
      </c>
      <c r="O33" s="2">
        <v>4</v>
      </c>
      <c r="P33" s="2">
        <v>47</v>
      </c>
      <c r="Q33" s="2">
        <v>0</v>
      </c>
      <c r="R33" s="2">
        <v>0</v>
      </c>
      <c r="S33" s="2">
        <v>1</v>
      </c>
      <c r="T33" s="2">
        <v>0</v>
      </c>
      <c r="U33" s="2">
        <f t="shared" si="4"/>
        <v>48</v>
      </c>
      <c r="V33" s="2">
        <f t="shared" si="5"/>
        <v>192</v>
      </c>
      <c r="W33" s="2">
        <f>P33*O33</f>
        <v>188</v>
      </c>
    </row>
    <row r="34" spans="1:23" x14ac:dyDescent="0.15">
      <c r="A34" s="2" t="s">
        <v>113</v>
      </c>
      <c r="B34" s="2" t="s">
        <v>112</v>
      </c>
      <c r="C34" s="2">
        <v>60</v>
      </c>
      <c r="D34" s="2">
        <f t="shared" si="0"/>
        <v>1</v>
      </c>
      <c r="E34" s="2">
        <v>60</v>
      </c>
      <c r="F34" s="2">
        <f t="shared" si="1"/>
        <v>1</v>
      </c>
      <c r="G34" s="2">
        <v>95</v>
      </c>
      <c r="H34" s="2">
        <v>0</v>
      </c>
      <c r="I34" s="2">
        <v>6</v>
      </c>
      <c r="J34" s="2">
        <v>2</v>
      </c>
      <c r="K34" s="2">
        <v>0</v>
      </c>
      <c r="L34" s="3">
        <f t="shared" si="2"/>
        <v>103</v>
      </c>
      <c r="M34" s="4">
        <f t="shared" si="3"/>
        <v>95</v>
      </c>
      <c r="N34" s="2">
        <v>15</v>
      </c>
      <c r="O34" s="2">
        <v>4</v>
      </c>
      <c r="P34" s="2">
        <v>31</v>
      </c>
      <c r="Q34" s="2">
        <v>0</v>
      </c>
      <c r="R34" s="2">
        <v>2</v>
      </c>
      <c r="S34" s="2">
        <v>2</v>
      </c>
      <c r="T34" s="2">
        <v>1</v>
      </c>
      <c r="U34" s="2">
        <f t="shared" si="4"/>
        <v>36</v>
      </c>
      <c r="V34" s="2">
        <f t="shared" si="5"/>
        <v>144</v>
      </c>
      <c r="W34" s="2">
        <f>P34*O34</f>
        <v>124</v>
      </c>
    </row>
    <row r="35" spans="1:23" x14ac:dyDescent="0.15">
      <c r="L35" s="3"/>
      <c r="M35" s="3"/>
    </row>
    <row r="36" spans="1:23" x14ac:dyDescent="0.15">
      <c r="L36" s="3"/>
    </row>
    <row r="37" spans="1:23" x14ac:dyDescent="0.15">
      <c r="L3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3F4B-11B6-5244-969F-2BBE8877F1E4}">
  <dimension ref="A1:E25"/>
  <sheetViews>
    <sheetView zoomScale="136" workbookViewId="0">
      <selection activeCell="B28" sqref="B28"/>
    </sheetView>
  </sheetViews>
  <sheetFormatPr baseColWidth="10" defaultRowHeight="14" x14ac:dyDescent="0.15"/>
  <cols>
    <col min="1" max="1" width="30.1640625" style="2" bestFit="1" customWidth="1"/>
    <col min="2" max="2" width="93" style="2" customWidth="1"/>
    <col min="3" max="3" width="11.6640625" style="2" customWidth="1"/>
    <col min="4" max="4" width="14.83203125" style="2" customWidth="1"/>
    <col min="5" max="5" width="34.33203125" style="2" customWidth="1"/>
    <col min="6" max="6" width="10.83203125" style="2" customWidth="1"/>
    <col min="7" max="16384" width="10.83203125" style="2"/>
  </cols>
  <sheetData>
    <row r="1" spans="1:5" s="12" customFormat="1" ht="15.75" customHeight="1" x14ac:dyDescent="0.15">
      <c r="A1" s="6" t="s">
        <v>36</v>
      </c>
      <c r="B1" s="6" t="s">
        <v>37</v>
      </c>
      <c r="C1" s="6" t="s">
        <v>41</v>
      </c>
      <c r="D1" s="7" t="s">
        <v>42</v>
      </c>
      <c r="E1" s="8" t="s">
        <v>73</v>
      </c>
    </row>
    <row r="2" spans="1:5" x14ac:dyDescent="0.15">
      <c r="A2" s="9" t="s">
        <v>1</v>
      </c>
      <c r="B2" s="9" t="s">
        <v>38</v>
      </c>
      <c r="C2" s="9"/>
      <c r="D2" s="9"/>
      <c r="E2" s="10" t="s">
        <v>72</v>
      </c>
    </row>
    <row r="3" spans="1:5" x14ac:dyDescent="0.15">
      <c r="A3" s="9" t="s">
        <v>0</v>
      </c>
      <c r="B3" s="9" t="s">
        <v>64</v>
      </c>
      <c r="C3" s="9"/>
      <c r="D3" s="9"/>
      <c r="E3" s="10" t="s">
        <v>72</v>
      </c>
    </row>
    <row r="4" spans="1:5" x14ac:dyDescent="0.15">
      <c r="A4" s="9" t="s">
        <v>2</v>
      </c>
      <c r="B4" s="9" t="s">
        <v>39</v>
      </c>
      <c r="C4" s="9"/>
      <c r="D4" s="9"/>
      <c r="E4" s="10" t="s">
        <v>72</v>
      </c>
    </row>
    <row r="5" spans="1:5" x14ac:dyDescent="0.15">
      <c r="A5" s="9" t="s">
        <v>51</v>
      </c>
      <c r="B5" s="9" t="s">
        <v>92</v>
      </c>
      <c r="C5" s="9"/>
      <c r="D5" s="9"/>
      <c r="E5" s="9" t="s">
        <v>74</v>
      </c>
    </row>
    <row r="6" spans="1:5" x14ac:dyDescent="0.15">
      <c r="A6" s="9" t="s">
        <v>3</v>
      </c>
      <c r="B6" s="9" t="s">
        <v>40</v>
      </c>
      <c r="C6" s="9"/>
      <c r="D6" s="9"/>
      <c r="E6" s="10" t="s">
        <v>72</v>
      </c>
    </row>
    <row r="7" spans="1:5" x14ac:dyDescent="0.15">
      <c r="A7" s="9" t="s">
        <v>52</v>
      </c>
      <c r="B7" s="9" t="s">
        <v>91</v>
      </c>
      <c r="C7" s="9"/>
      <c r="D7" s="9"/>
      <c r="E7" s="9" t="s">
        <v>74</v>
      </c>
    </row>
    <row r="8" spans="1:5" x14ac:dyDescent="0.15">
      <c r="A8" s="9" t="s">
        <v>44</v>
      </c>
      <c r="B8" s="9" t="s">
        <v>79</v>
      </c>
      <c r="C8" s="9" t="s">
        <v>0</v>
      </c>
      <c r="D8" s="9" t="s">
        <v>49</v>
      </c>
      <c r="E8" s="10" t="s">
        <v>72</v>
      </c>
    </row>
    <row r="9" spans="1:5" x14ac:dyDescent="0.15">
      <c r="A9" s="9" t="s">
        <v>45</v>
      </c>
      <c r="B9" s="9" t="s">
        <v>75</v>
      </c>
      <c r="C9" s="9" t="s">
        <v>0</v>
      </c>
      <c r="D9" s="9" t="s">
        <v>49</v>
      </c>
      <c r="E9" s="10" t="s">
        <v>72</v>
      </c>
    </row>
    <row r="10" spans="1:5" x14ac:dyDescent="0.15">
      <c r="A10" s="9" t="s">
        <v>46</v>
      </c>
      <c r="B10" s="9" t="s">
        <v>76</v>
      </c>
      <c r="C10" s="9" t="s">
        <v>0</v>
      </c>
      <c r="D10" s="9" t="s">
        <v>49</v>
      </c>
      <c r="E10" s="10" t="s">
        <v>72</v>
      </c>
    </row>
    <row r="11" spans="1:5" x14ac:dyDescent="0.15">
      <c r="A11" s="9" t="s">
        <v>47</v>
      </c>
      <c r="B11" s="9" t="s">
        <v>77</v>
      </c>
      <c r="C11" s="9" t="s">
        <v>0</v>
      </c>
      <c r="D11" s="9" t="s">
        <v>49</v>
      </c>
      <c r="E11" s="10" t="s">
        <v>72</v>
      </c>
    </row>
    <row r="12" spans="1:5" x14ac:dyDescent="0.15">
      <c r="A12" s="9" t="s">
        <v>48</v>
      </c>
      <c r="B12" s="9" t="s">
        <v>78</v>
      </c>
      <c r="C12" s="9" t="s">
        <v>0</v>
      </c>
      <c r="D12" s="9" t="s">
        <v>49</v>
      </c>
      <c r="E12" s="10" t="s">
        <v>72</v>
      </c>
    </row>
    <row r="13" spans="1:5" x14ac:dyDescent="0.15">
      <c r="A13" s="9" t="s">
        <v>53</v>
      </c>
      <c r="B13" s="9" t="s">
        <v>89</v>
      </c>
      <c r="C13" s="9"/>
      <c r="D13" s="9"/>
      <c r="E13" s="9" t="s">
        <v>74</v>
      </c>
    </row>
    <row r="14" spans="1:5" x14ac:dyDescent="0.15">
      <c r="A14" s="9" t="s">
        <v>54</v>
      </c>
      <c r="B14" s="9" t="s">
        <v>90</v>
      </c>
      <c r="C14" s="9"/>
      <c r="D14" s="9"/>
      <c r="E14" s="9" t="s">
        <v>74</v>
      </c>
    </row>
    <row r="15" spans="1:5" x14ac:dyDescent="0.15">
      <c r="A15" s="9" t="s">
        <v>50</v>
      </c>
      <c r="B15" s="9" t="s">
        <v>86</v>
      </c>
      <c r="C15" s="9"/>
      <c r="D15" s="9"/>
      <c r="E15" s="10" t="s">
        <v>72</v>
      </c>
    </row>
    <row r="16" spans="1:5" x14ac:dyDescent="0.15">
      <c r="A16" s="9" t="s">
        <v>57</v>
      </c>
      <c r="B16" s="9" t="s">
        <v>93</v>
      </c>
      <c r="C16" s="9"/>
      <c r="D16" s="9"/>
      <c r="E16" s="9" t="s">
        <v>74</v>
      </c>
    </row>
    <row r="17" spans="1:5" x14ac:dyDescent="0.15">
      <c r="A17" s="9" t="s">
        <v>58</v>
      </c>
      <c r="B17" s="9" t="s">
        <v>80</v>
      </c>
      <c r="C17" s="9" t="s">
        <v>43</v>
      </c>
      <c r="D17" s="9">
        <v>2025</v>
      </c>
      <c r="E17" s="9" t="s">
        <v>74</v>
      </c>
    </row>
    <row r="18" spans="1:5" x14ac:dyDescent="0.15">
      <c r="A18" s="9" t="s">
        <v>60</v>
      </c>
      <c r="B18" s="9" t="s">
        <v>81</v>
      </c>
      <c r="C18" s="9" t="s">
        <v>43</v>
      </c>
      <c r="D18" s="9">
        <v>2025</v>
      </c>
      <c r="E18" s="9" t="s">
        <v>74</v>
      </c>
    </row>
    <row r="19" spans="1:5" x14ac:dyDescent="0.15">
      <c r="A19" s="9" t="s">
        <v>61</v>
      </c>
      <c r="B19" s="9" t="s">
        <v>83</v>
      </c>
      <c r="C19" s="9" t="s">
        <v>43</v>
      </c>
      <c r="D19" s="9">
        <v>2025</v>
      </c>
      <c r="E19" s="9" t="s">
        <v>74</v>
      </c>
    </row>
    <row r="20" spans="1:5" x14ac:dyDescent="0.15">
      <c r="A20" s="9" t="s">
        <v>59</v>
      </c>
      <c r="B20" s="9" t="s">
        <v>82</v>
      </c>
      <c r="C20" s="9" t="s">
        <v>43</v>
      </c>
      <c r="D20" s="9">
        <v>2025</v>
      </c>
      <c r="E20" s="9" t="s">
        <v>74</v>
      </c>
    </row>
    <row r="21" spans="1:5" x14ac:dyDescent="0.15">
      <c r="A21" s="9" t="s">
        <v>62</v>
      </c>
      <c r="B21" s="9" t="s">
        <v>84</v>
      </c>
      <c r="C21" s="9" t="s">
        <v>43</v>
      </c>
      <c r="D21" s="9">
        <v>2025</v>
      </c>
      <c r="E21" s="9" t="s">
        <v>74</v>
      </c>
    </row>
    <row r="22" spans="1:5" x14ac:dyDescent="0.15">
      <c r="A22" s="9" t="s">
        <v>63</v>
      </c>
      <c r="B22" s="9" t="s">
        <v>85</v>
      </c>
      <c r="C22" s="9"/>
      <c r="D22" s="9"/>
      <c r="E22" s="9" t="s">
        <v>74</v>
      </c>
    </row>
    <row r="23" spans="1:5" x14ac:dyDescent="0.15">
      <c r="A23" s="9" t="s">
        <v>55</v>
      </c>
      <c r="B23" s="9" t="s">
        <v>88</v>
      </c>
      <c r="C23" s="9"/>
      <c r="D23" s="9"/>
      <c r="E23" s="9" t="s">
        <v>74</v>
      </c>
    </row>
    <row r="24" spans="1:5" x14ac:dyDescent="0.15">
      <c r="A24" s="9" t="s">
        <v>56</v>
      </c>
      <c r="B24" s="9" t="s">
        <v>87</v>
      </c>
      <c r="C24" s="9"/>
      <c r="D24" s="9"/>
      <c r="E24" s="9" t="s">
        <v>74</v>
      </c>
    </row>
    <row r="25" spans="1:5" x14ac:dyDescent="0.15">
      <c r="A25" s="2" t="s">
        <v>117</v>
      </c>
      <c r="B25" s="2" t="s">
        <v>117</v>
      </c>
    </row>
  </sheetData>
  <dataValidations count="1">
    <dataValidation type="list" allowBlank="1" showErrorMessage="1" sqref="D1" xr:uid="{F68FAB63-11D7-B644-94D6-1E5D3DFE4D6E}">
      <formula1>"Kelp counts,Star survey,Urchins,Benthic inverts,Groundtruthing,Rugosity,Fish"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DiCicco</dc:creator>
  <cp:lastModifiedBy>Julia DiCicco</cp:lastModifiedBy>
  <dcterms:created xsi:type="dcterms:W3CDTF">2026-08-09T18:37:01Z</dcterms:created>
  <dcterms:modified xsi:type="dcterms:W3CDTF">2026-10-11T18:51:34Z</dcterms:modified>
</cp:coreProperties>
</file>