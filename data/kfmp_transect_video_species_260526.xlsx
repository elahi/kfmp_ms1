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ahi/Library/CloudStorage/GoogleDrive-elahi@stanford.edu/My Drive/currentResearch/kfmp/kfmp_ms1_robin/video_qual_sheets_2025/data_raw/"/>
    </mc:Choice>
  </mc:AlternateContent>
  <xr:revisionPtr revIDLastSave="0" documentId="13_ncr:1_{6070C37E-0F8D-824E-AD17-51EBF8E9D38C}" xr6:coauthVersionLast="47" xr6:coauthVersionMax="47" xr10:uidLastSave="{00000000-0000-0000-0000-000000000000}"/>
  <bookViews>
    <workbookView xWindow="-38400" yWindow="500" windowWidth="38400" windowHeight="23500" activeTab="1" xr2:uid="{047547D0-BD10-354A-81F3-2D277E17EFCC}"/>
  </bookViews>
  <sheets>
    <sheet name="species_data" sheetId="1" r:id="rId1"/>
    <sheet name="metadata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2" i="1" l="1"/>
  <c r="V32" i="1"/>
  <c r="V120" i="1"/>
  <c r="W120" i="1"/>
  <c r="V121" i="1"/>
  <c r="W121" i="1"/>
  <c r="V122" i="1"/>
  <c r="W122" i="1"/>
  <c r="V123" i="1"/>
  <c r="W123" i="1"/>
  <c r="V124" i="1"/>
  <c r="W124" i="1"/>
  <c r="V125" i="1"/>
  <c r="W125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2" i="1"/>
  <c r="D13" i="5"/>
  <c r="D12" i="5"/>
  <c r="D11" i="5"/>
  <c r="D10" i="5"/>
  <c r="D9" i="5"/>
  <c r="D8" i="5"/>
  <c r="D7" i="5"/>
  <c r="D6" i="5"/>
  <c r="D5" i="5"/>
  <c r="D4" i="5"/>
  <c r="D3" i="5"/>
  <c r="D2" i="5"/>
</calcChain>
</file>

<file path=xl/sharedStrings.xml><?xml version="1.0" encoding="utf-8"?>
<sst xmlns="http://schemas.openxmlformats.org/spreadsheetml/2006/main" count="1169" uniqueCount="203">
  <si>
    <t>Polymastia_pachymastia</t>
  </si>
  <si>
    <t>Tethya_californiana</t>
  </si>
  <si>
    <t>Anthopleura_artemisia</t>
  </si>
  <si>
    <t>Urticina_piscivora</t>
  </si>
  <si>
    <t>Urticina_grebelneyi</t>
  </si>
  <si>
    <t>Urticina_spp</t>
  </si>
  <si>
    <t>Metridium_farcimen</t>
  </si>
  <si>
    <t>Balanophyllia_elegans</t>
  </si>
  <si>
    <t>Paracyathus_stearnsi</t>
  </si>
  <si>
    <t>Corynactis_californica</t>
  </si>
  <si>
    <t>Pachycerianthus_fimbriatus</t>
  </si>
  <si>
    <t>Virgulariidae_spp</t>
  </si>
  <si>
    <t>Stylaster_californicus</t>
  </si>
  <si>
    <t>Cryptochiton_stelleri</t>
  </si>
  <si>
    <t>Megathura_crenulata</t>
  </si>
  <si>
    <t>Ceratostoma_foliatum</t>
  </si>
  <si>
    <t>Kelletia_kelletii</t>
  </si>
  <si>
    <t>Aplysia_californica</t>
  </si>
  <si>
    <t>Dendronotus_iris</t>
  </si>
  <si>
    <t>Chaceia_ovoidea</t>
  </si>
  <si>
    <t>Parapholas_californica</t>
  </si>
  <si>
    <t>Crassodoma_gigantea</t>
  </si>
  <si>
    <t>Eudistylia_spp</t>
  </si>
  <si>
    <t>Diopatra_ornata</t>
  </si>
  <si>
    <t>Phragmatopoma_californica</t>
  </si>
  <si>
    <t>Balanus_nubilus</t>
  </si>
  <si>
    <t>Diaperoforma_californica</t>
  </si>
  <si>
    <t>Celleporina_robertsoniae</t>
  </si>
  <si>
    <t>Celleporella_spp</t>
  </si>
  <si>
    <t>Lagenicella_punctulata</t>
  </si>
  <si>
    <t>Hippoporina_insculpta</t>
  </si>
  <si>
    <t>Phidolopora_pacifica</t>
  </si>
  <si>
    <t>Watersipora_subtorquata</t>
  </si>
  <si>
    <t>Pisaster_giganteus</t>
  </si>
  <si>
    <t>Pycnopodia_helianthoides</t>
  </si>
  <si>
    <t>Dermasterias_imbricata</t>
  </si>
  <si>
    <t>Patiria_miniata</t>
  </si>
  <si>
    <t>Henricia_spp</t>
  </si>
  <si>
    <t>Dendraster_excentricus</t>
  </si>
  <si>
    <t>Mesocentrotus_franciscanus</t>
  </si>
  <si>
    <t>Strongylocentrotus_purpuratus</t>
  </si>
  <si>
    <t>Apostichopus_californicus</t>
  </si>
  <si>
    <t>Apostichopus_parvimensis</t>
  </si>
  <si>
    <t>Cucumaria_miniata</t>
  </si>
  <si>
    <t>Boltenia_villosa</t>
  </si>
  <si>
    <t>Cnemidocarpa_finmarkiensis</t>
  </si>
  <si>
    <t>Pyura_haustor</t>
  </si>
  <si>
    <t>Styela_montereyensis</t>
  </si>
  <si>
    <t>Clavelina_huntsmani</t>
  </si>
  <si>
    <t>Pycnoclavella_stanleyi</t>
  </si>
  <si>
    <t>Didemnum_carnulentum</t>
  </si>
  <si>
    <t>Didemnum_orange_crust</t>
  </si>
  <si>
    <t>Polyclinum_planum</t>
  </si>
  <si>
    <t>Rhinogobiops_nicholsii</t>
  </si>
  <si>
    <t>Brachyistius_frenatus</t>
  </si>
  <si>
    <t>Embiotoca_jacksoni</t>
  </si>
  <si>
    <t>Embiotoca_lateralis</t>
  </si>
  <si>
    <t>Hypsurus_caryi</t>
  </si>
  <si>
    <t>Phanerodon_furcatus</t>
  </si>
  <si>
    <t>Rhacochilus_toxotes</t>
  </si>
  <si>
    <t>Rhacochilus_vacca</t>
  </si>
  <si>
    <t>Oxyjulis_californica</t>
  </si>
  <si>
    <t>Paralabrax_clathratus</t>
  </si>
  <si>
    <t>Girella_nigricans</t>
  </si>
  <si>
    <t>Medialuna_californiensis</t>
  </si>
  <si>
    <t>Scorpaenichthys_marmoratus</t>
  </si>
  <si>
    <t>Sebastes_atrovirens</t>
  </si>
  <si>
    <t>Sebastes_carnatus</t>
  </si>
  <si>
    <t>Sebastes_caurinus</t>
  </si>
  <si>
    <t>Sebastes_chrysomelas</t>
  </si>
  <si>
    <t>Sebastes_melanops</t>
  </si>
  <si>
    <t>Sebastes_mystinus</t>
  </si>
  <si>
    <t>Sebastes_serriceps</t>
  </si>
  <si>
    <t>Hexagrammos_decagrammus</t>
  </si>
  <si>
    <t>Ophiodon_elongatus</t>
  </si>
  <si>
    <t>Oxylebius_pictus</t>
  </si>
  <si>
    <t>Stephanocystis_osmundacea</t>
  </si>
  <si>
    <t>Desmarestia_spp</t>
  </si>
  <si>
    <t>Alaria_marginata</t>
  </si>
  <si>
    <t>Dictyoneurum_spp</t>
  </si>
  <si>
    <t>Eisenia_arborea</t>
  </si>
  <si>
    <t>Laminaria_setchellii</t>
  </si>
  <si>
    <t>Macrocystis_pyrifera</t>
  </si>
  <si>
    <t>Nereocystis_luetkeana</t>
  </si>
  <si>
    <t>Cryptopleura_spp</t>
  </si>
  <si>
    <t>Bossiella_spp</t>
  </si>
  <si>
    <t>Calliarthron_spp</t>
  </si>
  <si>
    <t>Callophyllis_spp</t>
  </si>
  <si>
    <t>Chondracanthus_corymbiferus</t>
  </si>
  <si>
    <t>Fredericqia_chiton</t>
  </si>
  <si>
    <t>Sarcodiotheca_gaudichaudii</t>
  </si>
  <si>
    <t>Prionitis_spp</t>
  </si>
  <si>
    <t>Plocamium_spp</t>
  </si>
  <si>
    <t>Botryocladia_pseudodichotoma</t>
  </si>
  <si>
    <t>Gloiocladia_laciniata</t>
  </si>
  <si>
    <t>Fryeela_gardneri</t>
  </si>
  <si>
    <t>Rhodymenia_spp</t>
  </si>
  <si>
    <t>order</t>
  </si>
  <si>
    <t>Porifera</t>
  </si>
  <si>
    <t>Cnidaria</t>
  </si>
  <si>
    <t>Mollusca</t>
  </si>
  <si>
    <t>Annelida</t>
  </si>
  <si>
    <t>Arthropoda</t>
  </si>
  <si>
    <t>Bryozoa</t>
  </si>
  <si>
    <t>Echinodermata</t>
  </si>
  <si>
    <t>Tunicata</t>
  </si>
  <si>
    <t>Vertebrata</t>
  </si>
  <si>
    <t>Phaeophyta</t>
  </si>
  <si>
    <t>Rhodophyta</t>
  </si>
  <si>
    <t>hms100_2023-08-30_t1_k</t>
  </si>
  <si>
    <t>bird_rock_2024-08-23_t1_k</t>
  </si>
  <si>
    <t>hms090_2024-08-23_t1_k</t>
  </si>
  <si>
    <t>bird_rock_2025-09-11_t1_k</t>
  </si>
  <si>
    <t>hms110_2025-09-11_t1_k</t>
  </si>
  <si>
    <t>hms100_2023-08-30_t1_b</t>
  </si>
  <si>
    <t>bird_rock_2024-08-23_t1_b</t>
  </si>
  <si>
    <t>hms090_2024-08-23_t1_b</t>
  </si>
  <si>
    <t>bird_rock_2025-09-11_t1_b</t>
  </si>
  <si>
    <t>hms110_2025-09-11_t1_b</t>
  </si>
  <si>
    <t>bird_rock_2023-08-30_t1_k</t>
  </si>
  <si>
    <t>bird_rock_2023-08-30_t1_b</t>
  </si>
  <si>
    <t>NA</t>
  </si>
  <si>
    <t>Arenicolid_egg</t>
  </si>
  <si>
    <t>Chromis punctipinnis</t>
  </si>
  <si>
    <t>Urticina_columbiana</t>
  </si>
  <si>
    <t>Urticina_coriacea</t>
  </si>
  <si>
    <t>Loxorhynchus_spp</t>
  </si>
  <si>
    <t>Reginella_hippocrepis</t>
  </si>
  <si>
    <t>Aplidium_spp</t>
  </si>
  <si>
    <t>Phoca_vitulina</t>
  </si>
  <si>
    <t>Trididemnum_spp</t>
  </si>
  <si>
    <t>Sebastes_mystinus_juv</t>
  </si>
  <si>
    <t>check again in all videos</t>
  </si>
  <si>
    <t>Sebastes_flavidus</t>
  </si>
  <si>
    <t>Sebastes_flavidus_juv</t>
  </si>
  <si>
    <t>phylum</t>
  </si>
  <si>
    <t>taxon</t>
  </si>
  <si>
    <t>red_aca</t>
  </si>
  <si>
    <t>Ophiuroidea_clade</t>
  </si>
  <si>
    <t>filter</t>
  </si>
  <si>
    <t>suspension</t>
  </si>
  <si>
    <t>herbivore</t>
  </si>
  <si>
    <t>omnivore</t>
  </si>
  <si>
    <t>detritivore</t>
  </si>
  <si>
    <t>carnivore</t>
  </si>
  <si>
    <t>video</t>
  </si>
  <si>
    <t>transect</t>
  </si>
  <si>
    <t>view</t>
  </si>
  <si>
    <t>site</t>
  </si>
  <si>
    <t>year</t>
  </si>
  <si>
    <t>bird_rock</t>
  </si>
  <si>
    <t>hms100</t>
  </si>
  <si>
    <t>trophic_level</t>
  </si>
  <si>
    <t>bryo_staghorn_delicate_fg</t>
  </si>
  <si>
    <t>bryo_staghorn_robust_fg</t>
  </si>
  <si>
    <t>Anthopleura_spp</t>
  </si>
  <si>
    <t>Dendronotus_spp</t>
  </si>
  <si>
    <t>Doridae_clade</t>
  </si>
  <si>
    <t>lump1</t>
  </si>
  <si>
    <t>lump2</t>
  </si>
  <si>
    <t>tunicate_sheet_thick_fg</t>
  </si>
  <si>
    <t>tunicate_sheet_thin_fg</t>
  </si>
  <si>
    <t>producer</t>
  </si>
  <si>
    <t>Urticina_albopunctata</t>
  </si>
  <si>
    <t>bedrock</t>
  </si>
  <si>
    <t>boulder</t>
  </si>
  <si>
    <t>cobble</t>
  </si>
  <si>
    <t>sand</t>
  </si>
  <si>
    <t>red_bush_sp</t>
  </si>
  <si>
    <t>red_cca_fg</t>
  </si>
  <si>
    <t>red_crust_fg</t>
  </si>
  <si>
    <t>red_turf_fg</t>
  </si>
  <si>
    <t>Dorid_yellow_fg</t>
  </si>
  <si>
    <t>red_aca_fg</t>
  </si>
  <si>
    <t>red_bush_fg</t>
  </si>
  <si>
    <t>red_branch_fg</t>
  </si>
  <si>
    <t>red_leaf_fg</t>
  </si>
  <si>
    <t>red_lacy_fg</t>
  </si>
  <si>
    <t>note</t>
  </si>
  <si>
    <t>bryo_encrusting_fg</t>
  </si>
  <si>
    <t>Virgulariidae_clade</t>
  </si>
  <si>
    <t>Bare_rock</t>
  </si>
  <si>
    <t>Bare_sand</t>
  </si>
  <si>
    <t>Shell_debris</t>
  </si>
  <si>
    <t>Sediment_mud</t>
  </si>
  <si>
    <t>Dead_kelp_holdfast</t>
  </si>
  <si>
    <t>Inanimate</t>
  </si>
  <si>
    <t>Drift_algae</t>
  </si>
  <si>
    <t>Other</t>
  </si>
  <si>
    <t>sum_b</t>
  </si>
  <si>
    <t>sum_k</t>
  </si>
  <si>
    <t>ms1</t>
  </si>
  <si>
    <t>no</t>
  </si>
  <si>
    <t>yes</t>
  </si>
  <si>
    <t>lump_ms1</t>
  </si>
  <si>
    <t>Bodianus_pulcher</t>
  </si>
  <si>
    <t>Sebastes_juvenile</t>
  </si>
  <si>
    <t>Astropecten_armatus</t>
  </si>
  <si>
    <t>Articulated_coralline_algae</t>
  </si>
  <si>
    <t>Red_algae_other</t>
  </si>
  <si>
    <t>Crustose_coralline_algae</t>
  </si>
  <si>
    <t>benthic</t>
  </si>
  <si>
    <t>kelp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</si>
</sst>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theme="3" tint="0.89999084444715716"/>
        <bgColor rgb="FFD6DCE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rgb="FFDEEAF6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rgb="FFD0CECE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rgb="FFFEF2CB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rgb="FFB4C6E7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rgb="FFFFE59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rgb="FFC8C8C8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rgb="FFFFD965"/>
      </patternFill>
    </fill>
    <fill>
      <patternFill patternType="solid">
        <fgColor theme="5" tint="0.59999389629810485"/>
        <bgColor rgb="FFF4B083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rgb="FFC8C8C8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0" applyFont="1" applyAlignment="1">
      <alignment textRotation="90"/>
    </xf>
    <xf numFmtId="0" fontId="4" fillId="0" borderId="0" xfId="0" applyFont="1" applyAlignment="1">
      <alignment textRotation="90"/>
    </xf>
    <xf numFmtId="0" fontId="3" fillId="0" borderId="0" xfId="0" applyFont="1" applyAlignment="1">
      <alignment textRotation="90"/>
    </xf>
    <xf numFmtId="0" fontId="2" fillId="0" borderId="0" xfId="0" applyFont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5" borderId="0" xfId="0" applyFill="1"/>
    <xf numFmtId="0" fontId="1" fillId="6" borderId="0" xfId="0" applyFont="1" applyFill="1"/>
    <xf numFmtId="0" fontId="0" fillId="7" borderId="0" xfId="0" applyFill="1"/>
    <xf numFmtId="0" fontId="1" fillId="8" borderId="0" xfId="0" applyFont="1" applyFill="1"/>
    <xf numFmtId="0" fontId="0" fillId="9" borderId="0" xfId="0" applyFill="1"/>
    <xf numFmtId="0" fontId="1" fillId="10" borderId="0" xfId="0" applyFont="1" applyFill="1"/>
    <xf numFmtId="0" fontId="0" fillId="11" borderId="0" xfId="0" applyFill="1"/>
    <xf numFmtId="0" fontId="1" fillId="12" borderId="0" xfId="0" applyFont="1" applyFill="1"/>
    <xf numFmtId="0" fontId="0" fillId="13" borderId="0" xfId="0" applyFill="1"/>
    <xf numFmtId="0" fontId="1" fillId="14" borderId="0" xfId="0" applyFont="1" applyFill="1"/>
    <xf numFmtId="0" fontId="0" fillId="15" borderId="0" xfId="0" applyFill="1"/>
    <xf numFmtId="0" fontId="1" fillId="16" borderId="0" xfId="0" applyFont="1" applyFill="1"/>
    <xf numFmtId="0" fontId="0" fillId="17" borderId="0" xfId="0" applyFill="1"/>
    <xf numFmtId="0" fontId="1" fillId="18" borderId="0" xfId="0" applyFont="1" applyFill="1"/>
    <xf numFmtId="0" fontId="0" fillId="19" borderId="0" xfId="0" applyFill="1"/>
    <xf numFmtId="0" fontId="1" fillId="20" borderId="0" xfId="0" applyFont="1" applyFill="1"/>
    <xf numFmtId="0" fontId="1" fillId="21" borderId="0" xfId="0" applyFont="1" applyFill="1"/>
    <xf numFmtId="0" fontId="0" fillId="22" borderId="0" xfId="0" applyFill="1"/>
    <xf numFmtId="0" fontId="4" fillId="0" borderId="0" xfId="0" applyFont="1"/>
    <xf numFmtId="0" fontId="3" fillId="0" borderId="0" xfId="0" applyFont="1"/>
    <xf numFmtId="0" fontId="5" fillId="0" borderId="0" xfId="0" applyFont="1" applyAlignment="1">
      <alignment textRotation="90"/>
    </xf>
    <xf numFmtId="0" fontId="6" fillId="0" borderId="0" xfId="0" applyFont="1"/>
    <xf numFmtId="0" fontId="1" fillId="23" borderId="0" xfId="0" applyFont="1" applyFill="1"/>
    <xf numFmtId="0" fontId="0" fillId="24" borderId="0" xfId="0" applyFill="1"/>
    <xf numFmtId="0" fontId="2" fillId="25" borderId="0" xfId="0" applyFont="1" applyFill="1" applyAlignment="1">
      <alignment textRotation="90"/>
    </xf>
    <xf numFmtId="0" fontId="0" fillId="25" borderId="0" xfId="0" applyFill="1"/>
  </cellXfs>
  <cellStyles count="2">
    <cellStyle name="Normal" xfId="0" builtinId="0"/>
    <cellStyle name="Normal 2" xfId="1" xr:uid="{389D1EB3-4CC5-6A47-A6FB-4AF81546DF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927ED-E597-9149-8155-A8F647D9FF44}">
  <dimension ref="A1:X125"/>
  <sheetViews>
    <sheetView zoomScale="150" zoomScaleNormal="150" workbookViewId="0">
      <pane ySplit="1" topLeftCell="A59" activePane="bottomLeft" state="frozen"/>
      <selection pane="bottomLeft" activeCell="G115" sqref="G115"/>
    </sheetView>
  </sheetViews>
  <sheetFormatPr baseColWidth="10" defaultRowHeight="16" x14ac:dyDescent="0.2"/>
  <cols>
    <col min="1" max="1" width="5.5" bestFit="1" customWidth="1"/>
    <col min="2" max="2" width="27.1640625" bestFit="1" customWidth="1"/>
    <col min="3" max="3" width="13.5" bestFit="1" customWidth="1"/>
    <col min="4" max="4" width="12.5" bestFit="1" customWidth="1"/>
    <col min="5" max="6" width="22.6640625" customWidth="1"/>
    <col min="7" max="7" width="16.33203125" bestFit="1" customWidth="1"/>
    <col min="8" max="8" width="4.83203125" bestFit="1" customWidth="1"/>
    <col min="9" max="9" width="7.33203125" bestFit="1" customWidth="1"/>
    <col min="10" max="21" width="5.83203125" customWidth="1"/>
    <col min="22" max="23" width="10.83203125" style="33"/>
    <col min="24" max="24" width="7" customWidth="1"/>
  </cols>
  <sheetData>
    <row r="1" spans="1:24" s="1" customFormat="1" ht="141" x14ac:dyDescent="0.2">
      <c r="A1" s="4" t="s">
        <v>97</v>
      </c>
      <c r="B1" s="4" t="s">
        <v>136</v>
      </c>
      <c r="C1" s="4" t="s">
        <v>135</v>
      </c>
      <c r="D1" s="4" t="s">
        <v>158</v>
      </c>
      <c r="E1" s="4" t="s">
        <v>159</v>
      </c>
      <c r="F1" s="4" t="s">
        <v>194</v>
      </c>
      <c r="G1" s="4" t="s">
        <v>152</v>
      </c>
      <c r="H1" s="4" t="s">
        <v>191</v>
      </c>
      <c r="I1" s="4" t="s">
        <v>147</v>
      </c>
      <c r="J1" s="2" t="s">
        <v>119</v>
      </c>
      <c r="K1" s="2" t="s">
        <v>120</v>
      </c>
      <c r="L1" s="3" t="s">
        <v>109</v>
      </c>
      <c r="M1" s="3" t="s">
        <v>114</v>
      </c>
      <c r="N1" s="3" t="s">
        <v>110</v>
      </c>
      <c r="O1" s="3" t="s">
        <v>115</v>
      </c>
      <c r="P1" s="3" t="s">
        <v>111</v>
      </c>
      <c r="Q1" s="3" t="s">
        <v>116</v>
      </c>
      <c r="R1" s="3" t="s">
        <v>112</v>
      </c>
      <c r="S1" s="3" t="s">
        <v>117</v>
      </c>
      <c r="T1" s="3" t="s">
        <v>113</v>
      </c>
      <c r="U1" s="3" t="s">
        <v>118</v>
      </c>
      <c r="V1" s="32" t="s">
        <v>190</v>
      </c>
      <c r="W1" s="32" t="s">
        <v>189</v>
      </c>
      <c r="X1" s="1" t="s">
        <v>178</v>
      </c>
    </row>
    <row r="2" spans="1:24" x14ac:dyDescent="0.2">
      <c r="A2">
        <v>1</v>
      </c>
      <c r="B2" s="11" t="s">
        <v>122</v>
      </c>
      <c r="C2" s="12" t="s">
        <v>101</v>
      </c>
      <c r="D2" t="s">
        <v>121</v>
      </c>
      <c r="E2" t="s">
        <v>121</v>
      </c>
      <c r="F2" t="s">
        <v>121</v>
      </c>
      <c r="G2" t="s">
        <v>140</v>
      </c>
      <c r="H2" t="s">
        <v>192</v>
      </c>
      <c r="I2" t="s">
        <v>201</v>
      </c>
      <c r="J2">
        <v>0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33">
        <f t="shared" ref="V2:V34" si="0">SUM(J2,L2,N2,P2,R2,T2)</f>
        <v>0</v>
      </c>
      <c r="W2" s="33">
        <f t="shared" ref="W2:W34" si="1">SUM(K2,M2,O2,Q2,S2,U2)</f>
        <v>1</v>
      </c>
    </row>
    <row r="3" spans="1:24" x14ac:dyDescent="0.2">
      <c r="A3">
        <v>2</v>
      </c>
      <c r="B3" s="11" t="s">
        <v>23</v>
      </c>
      <c r="C3" s="12" t="s">
        <v>101</v>
      </c>
      <c r="D3" t="s">
        <v>121</v>
      </c>
      <c r="E3" t="s">
        <v>121</v>
      </c>
      <c r="F3" t="s">
        <v>121</v>
      </c>
      <c r="G3" t="s">
        <v>140</v>
      </c>
      <c r="H3" t="s">
        <v>193</v>
      </c>
      <c r="I3" t="s">
        <v>201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 s="33">
        <f t="shared" si="0"/>
        <v>0</v>
      </c>
      <c r="W3" s="33">
        <f t="shared" si="1"/>
        <v>1</v>
      </c>
    </row>
    <row r="4" spans="1:24" x14ac:dyDescent="0.2">
      <c r="A4">
        <v>3</v>
      </c>
      <c r="B4" s="11" t="s">
        <v>22</v>
      </c>
      <c r="C4" s="12" t="s">
        <v>101</v>
      </c>
      <c r="D4" t="s">
        <v>121</v>
      </c>
      <c r="E4" t="s">
        <v>121</v>
      </c>
      <c r="F4" t="s">
        <v>121</v>
      </c>
      <c r="G4" t="s">
        <v>140</v>
      </c>
      <c r="H4" t="s">
        <v>193</v>
      </c>
      <c r="I4" t="s">
        <v>201</v>
      </c>
      <c r="J4">
        <v>0</v>
      </c>
      <c r="K4">
        <v>1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1</v>
      </c>
      <c r="T4">
        <v>0</v>
      </c>
      <c r="U4">
        <v>0</v>
      </c>
      <c r="V4" s="33">
        <f t="shared" si="0"/>
        <v>1</v>
      </c>
      <c r="W4" s="33">
        <f t="shared" si="1"/>
        <v>3</v>
      </c>
    </row>
    <row r="5" spans="1:24" x14ac:dyDescent="0.2">
      <c r="A5">
        <v>4</v>
      </c>
      <c r="B5" s="11" t="s">
        <v>24</v>
      </c>
      <c r="C5" s="12" t="s">
        <v>101</v>
      </c>
      <c r="D5" t="s">
        <v>121</v>
      </c>
      <c r="E5" t="s">
        <v>121</v>
      </c>
      <c r="F5" t="s">
        <v>121</v>
      </c>
      <c r="G5" t="s">
        <v>140</v>
      </c>
      <c r="H5" t="s">
        <v>193</v>
      </c>
      <c r="I5" t="s">
        <v>201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s="33">
        <f t="shared" si="0"/>
        <v>0</v>
      </c>
      <c r="W5" s="33">
        <f t="shared" si="1"/>
        <v>0</v>
      </c>
    </row>
    <row r="6" spans="1:24" x14ac:dyDescent="0.2">
      <c r="A6">
        <v>5</v>
      </c>
      <c r="B6" s="13" t="s">
        <v>25</v>
      </c>
      <c r="C6" s="14" t="s">
        <v>102</v>
      </c>
      <c r="D6" t="s">
        <v>121</v>
      </c>
      <c r="E6" t="s">
        <v>121</v>
      </c>
      <c r="F6" t="s">
        <v>121</v>
      </c>
      <c r="G6" t="s">
        <v>140</v>
      </c>
      <c r="H6" t="s">
        <v>193</v>
      </c>
      <c r="I6" t="s">
        <v>201</v>
      </c>
      <c r="J6">
        <v>1</v>
      </c>
      <c r="K6">
        <v>1</v>
      </c>
      <c r="L6">
        <v>0</v>
      </c>
      <c r="M6">
        <v>0</v>
      </c>
      <c r="N6">
        <v>1</v>
      </c>
      <c r="O6">
        <v>1</v>
      </c>
      <c r="P6">
        <v>0</v>
      </c>
      <c r="Q6">
        <v>0</v>
      </c>
      <c r="R6">
        <v>1</v>
      </c>
      <c r="S6">
        <v>1</v>
      </c>
      <c r="T6">
        <v>0</v>
      </c>
      <c r="U6">
        <v>0</v>
      </c>
      <c r="V6" s="33">
        <f t="shared" si="0"/>
        <v>3</v>
      </c>
      <c r="W6" s="33">
        <f t="shared" si="1"/>
        <v>3</v>
      </c>
    </row>
    <row r="7" spans="1:24" x14ac:dyDescent="0.2">
      <c r="A7">
        <v>6</v>
      </c>
      <c r="B7" s="13" t="s">
        <v>126</v>
      </c>
      <c r="C7" s="14" t="s">
        <v>102</v>
      </c>
      <c r="D7" t="s">
        <v>121</v>
      </c>
      <c r="E7" t="s">
        <v>121</v>
      </c>
      <c r="F7" t="s">
        <v>121</v>
      </c>
      <c r="G7" t="s">
        <v>142</v>
      </c>
      <c r="H7" t="s">
        <v>193</v>
      </c>
      <c r="I7" t="s">
        <v>201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 s="33">
        <f t="shared" si="0"/>
        <v>0</v>
      </c>
      <c r="W7" s="33">
        <f t="shared" si="1"/>
        <v>0</v>
      </c>
    </row>
    <row r="8" spans="1:24" x14ac:dyDescent="0.2">
      <c r="A8">
        <v>7</v>
      </c>
      <c r="B8" s="15" t="s">
        <v>28</v>
      </c>
      <c r="C8" s="16" t="s">
        <v>103</v>
      </c>
      <c r="D8" t="s">
        <v>121</v>
      </c>
      <c r="E8" t="s">
        <v>154</v>
      </c>
      <c r="F8" t="s">
        <v>154</v>
      </c>
      <c r="G8" t="s">
        <v>140</v>
      </c>
      <c r="H8" t="s">
        <v>192</v>
      </c>
      <c r="I8" t="s">
        <v>201</v>
      </c>
      <c r="J8">
        <v>0</v>
      </c>
      <c r="K8">
        <v>1</v>
      </c>
      <c r="L8">
        <v>1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 s="33">
        <f t="shared" si="0"/>
        <v>1</v>
      </c>
      <c r="W8" s="33">
        <f t="shared" si="1"/>
        <v>4</v>
      </c>
    </row>
    <row r="9" spans="1:24" x14ac:dyDescent="0.2">
      <c r="A9">
        <v>8</v>
      </c>
      <c r="B9" s="15" t="s">
        <v>27</v>
      </c>
      <c r="C9" s="16" t="s">
        <v>103</v>
      </c>
      <c r="D9" t="s">
        <v>121</v>
      </c>
      <c r="E9" t="s">
        <v>154</v>
      </c>
      <c r="F9" t="s">
        <v>154</v>
      </c>
      <c r="G9" t="s">
        <v>140</v>
      </c>
      <c r="H9" t="s">
        <v>192</v>
      </c>
      <c r="I9" t="s">
        <v>201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</v>
      </c>
      <c r="R9">
        <v>0</v>
      </c>
      <c r="S9">
        <v>1</v>
      </c>
      <c r="T9">
        <v>0</v>
      </c>
      <c r="U9">
        <v>1</v>
      </c>
      <c r="V9" s="33">
        <f t="shared" si="0"/>
        <v>0</v>
      </c>
      <c r="W9" s="33">
        <f t="shared" si="1"/>
        <v>3</v>
      </c>
    </row>
    <row r="10" spans="1:24" x14ac:dyDescent="0.2">
      <c r="A10">
        <v>9</v>
      </c>
      <c r="B10" s="15" t="s">
        <v>26</v>
      </c>
      <c r="C10" s="16" t="s">
        <v>103</v>
      </c>
      <c r="D10" t="s">
        <v>121</v>
      </c>
      <c r="E10" t="s">
        <v>153</v>
      </c>
      <c r="F10" t="s">
        <v>153</v>
      </c>
      <c r="G10" t="s">
        <v>140</v>
      </c>
      <c r="H10" t="s">
        <v>192</v>
      </c>
      <c r="I10" t="s">
        <v>201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</v>
      </c>
      <c r="T10">
        <v>0</v>
      </c>
      <c r="U10">
        <v>0</v>
      </c>
      <c r="V10" s="33">
        <f t="shared" si="0"/>
        <v>0</v>
      </c>
      <c r="W10" s="33">
        <f t="shared" si="1"/>
        <v>1</v>
      </c>
    </row>
    <row r="11" spans="1:24" x14ac:dyDescent="0.2">
      <c r="A11">
        <v>10</v>
      </c>
      <c r="B11" s="15" t="s">
        <v>30</v>
      </c>
      <c r="C11" s="16" t="s">
        <v>103</v>
      </c>
      <c r="D11" t="s">
        <v>121</v>
      </c>
      <c r="E11" t="s">
        <v>121</v>
      </c>
      <c r="F11" t="s">
        <v>121</v>
      </c>
      <c r="G11" t="s">
        <v>140</v>
      </c>
      <c r="H11" t="s">
        <v>192</v>
      </c>
      <c r="I11" t="s">
        <v>201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s="33">
        <f t="shared" si="0"/>
        <v>0</v>
      </c>
      <c r="W11" s="33">
        <f t="shared" si="1"/>
        <v>0</v>
      </c>
    </row>
    <row r="12" spans="1:24" x14ac:dyDescent="0.2">
      <c r="A12">
        <v>11</v>
      </c>
      <c r="B12" s="15" t="s">
        <v>29</v>
      </c>
      <c r="C12" s="16" t="s">
        <v>103</v>
      </c>
      <c r="D12" t="s">
        <v>121</v>
      </c>
      <c r="E12" t="s">
        <v>153</v>
      </c>
      <c r="F12" t="s">
        <v>153</v>
      </c>
      <c r="G12" t="s">
        <v>140</v>
      </c>
      <c r="H12" t="s">
        <v>192</v>
      </c>
      <c r="I12" t="s">
        <v>201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s="33">
        <f t="shared" si="0"/>
        <v>0</v>
      </c>
      <c r="W12" s="33">
        <f t="shared" si="1"/>
        <v>0</v>
      </c>
    </row>
    <row r="13" spans="1:24" x14ac:dyDescent="0.2">
      <c r="A13">
        <v>12</v>
      </c>
      <c r="B13" s="15" t="s">
        <v>31</v>
      </c>
      <c r="C13" s="16" t="s">
        <v>103</v>
      </c>
      <c r="D13" t="s">
        <v>121</v>
      </c>
      <c r="E13" t="s">
        <v>121</v>
      </c>
      <c r="F13" t="s">
        <v>121</v>
      </c>
      <c r="G13" t="s">
        <v>140</v>
      </c>
      <c r="H13" t="s">
        <v>192</v>
      </c>
      <c r="I13" t="s">
        <v>201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s="33">
        <f t="shared" si="0"/>
        <v>0</v>
      </c>
      <c r="W13" s="33">
        <f t="shared" si="1"/>
        <v>0</v>
      </c>
    </row>
    <row r="14" spans="1:24" x14ac:dyDescent="0.2">
      <c r="A14">
        <v>13</v>
      </c>
      <c r="B14" s="15" t="s">
        <v>127</v>
      </c>
      <c r="C14" s="16" t="s">
        <v>103</v>
      </c>
      <c r="D14" t="s">
        <v>121</v>
      </c>
      <c r="E14" t="s">
        <v>179</v>
      </c>
      <c r="F14" t="s">
        <v>179</v>
      </c>
      <c r="G14" t="s">
        <v>140</v>
      </c>
      <c r="H14" t="s">
        <v>192</v>
      </c>
      <c r="I14" t="s">
        <v>201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1</v>
      </c>
      <c r="V14" s="33">
        <f t="shared" si="0"/>
        <v>0</v>
      </c>
      <c r="W14" s="33">
        <f t="shared" si="1"/>
        <v>2</v>
      </c>
      <c r="X14" t="s">
        <v>132</v>
      </c>
    </row>
    <row r="15" spans="1:24" x14ac:dyDescent="0.2">
      <c r="A15">
        <v>14</v>
      </c>
      <c r="B15" s="15" t="s">
        <v>32</v>
      </c>
      <c r="C15" s="16" t="s">
        <v>103</v>
      </c>
      <c r="D15" t="s">
        <v>121</v>
      </c>
      <c r="E15" t="s">
        <v>121</v>
      </c>
      <c r="F15" t="s">
        <v>121</v>
      </c>
      <c r="G15" t="s">
        <v>140</v>
      </c>
      <c r="H15" t="s">
        <v>192</v>
      </c>
      <c r="I15" t="s">
        <v>201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 s="33">
        <f t="shared" si="0"/>
        <v>0</v>
      </c>
      <c r="W15" s="33">
        <f t="shared" si="1"/>
        <v>2</v>
      </c>
    </row>
    <row r="16" spans="1:24" x14ac:dyDescent="0.2">
      <c r="A16">
        <v>15</v>
      </c>
      <c r="B16" s="7" t="s">
        <v>2</v>
      </c>
      <c r="C16" s="8" t="s">
        <v>99</v>
      </c>
      <c r="D16" t="s">
        <v>121</v>
      </c>
      <c r="E16" t="s">
        <v>155</v>
      </c>
      <c r="F16" t="s">
        <v>121</v>
      </c>
      <c r="G16" t="s">
        <v>140</v>
      </c>
      <c r="H16" t="s">
        <v>193</v>
      </c>
      <c r="I16" t="s">
        <v>201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0</v>
      </c>
      <c r="S16">
        <v>0</v>
      </c>
      <c r="T16">
        <v>0</v>
      </c>
      <c r="U16">
        <v>0</v>
      </c>
      <c r="V16" s="33">
        <f t="shared" si="0"/>
        <v>0</v>
      </c>
      <c r="W16" s="33">
        <f t="shared" si="1"/>
        <v>1</v>
      </c>
    </row>
    <row r="17" spans="1:23" x14ac:dyDescent="0.2">
      <c r="A17">
        <v>16</v>
      </c>
      <c r="B17" s="7" t="s">
        <v>7</v>
      </c>
      <c r="C17" s="8" t="s">
        <v>99</v>
      </c>
      <c r="D17" t="s">
        <v>121</v>
      </c>
      <c r="E17" t="s">
        <v>121</v>
      </c>
      <c r="F17" t="s">
        <v>121</v>
      </c>
      <c r="G17" t="s">
        <v>140</v>
      </c>
      <c r="H17" t="s">
        <v>193</v>
      </c>
      <c r="I17" t="s">
        <v>201</v>
      </c>
      <c r="J17">
        <v>0</v>
      </c>
      <c r="K17">
        <v>1</v>
      </c>
      <c r="L17">
        <v>0</v>
      </c>
      <c r="M17">
        <v>1</v>
      </c>
      <c r="N17">
        <v>0</v>
      </c>
      <c r="O17">
        <v>0</v>
      </c>
      <c r="P17">
        <v>0</v>
      </c>
      <c r="Q17">
        <v>1</v>
      </c>
      <c r="R17">
        <v>0</v>
      </c>
      <c r="S17">
        <v>1</v>
      </c>
      <c r="T17">
        <v>0</v>
      </c>
      <c r="U17">
        <v>1</v>
      </c>
      <c r="V17" s="33">
        <f t="shared" si="0"/>
        <v>0</v>
      </c>
      <c r="W17" s="33">
        <f t="shared" si="1"/>
        <v>5</v>
      </c>
    </row>
    <row r="18" spans="1:23" x14ac:dyDescent="0.2">
      <c r="A18">
        <v>17</v>
      </c>
      <c r="B18" s="7" t="s">
        <v>9</v>
      </c>
      <c r="C18" s="8" t="s">
        <v>99</v>
      </c>
      <c r="D18" t="s">
        <v>121</v>
      </c>
      <c r="E18" t="s">
        <v>121</v>
      </c>
      <c r="F18" t="s">
        <v>121</v>
      </c>
      <c r="G18" t="s">
        <v>140</v>
      </c>
      <c r="H18" t="s">
        <v>193</v>
      </c>
      <c r="I18" t="s">
        <v>201</v>
      </c>
      <c r="J18">
        <v>1</v>
      </c>
      <c r="K18">
        <v>1</v>
      </c>
      <c r="L18">
        <v>0</v>
      </c>
      <c r="M18">
        <v>1</v>
      </c>
      <c r="N18">
        <v>1</v>
      </c>
      <c r="O18">
        <v>1</v>
      </c>
      <c r="P18">
        <v>0</v>
      </c>
      <c r="Q18">
        <v>1</v>
      </c>
      <c r="R18">
        <v>1</v>
      </c>
      <c r="S18">
        <v>1</v>
      </c>
      <c r="T18">
        <v>0</v>
      </c>
      <c r="U18">
        <v>0</v>
      </c>
      <c r="V18" s="33">
        <f t="shared" si="0"/>
        <v>3</v>
      </c>
      <c r="W18" s="33">
        <f t="shared" si="1"/>
        <v>5</v>
      </c>
    </row>
    <row r="19" spans="1:23" x14ac:dyDescent="0.2">
      <c r="A19">
        <v>18</v>
      </c>
      <c r="B19" s="7" t="s">
        <v>6</v>
      </c>
      <c r="C19" s="8" t="s">
        <v>99</v>
      </c>
      <c r="D19" t="s">
        <v>121</v>
      </c>
      <c r="E19" t="s">
        <v>121</v>
      </c>
      <c r="F19" t="s">
        <v>121</v>
      </c>
      <c r="G19" t="s">
        <v>140</v>
      </c>
      <c r="H19" t="s">
        <v>193</v>
      </c>
      <c r="I19" t="s">
        <v>201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s="33">
        <f t="shared" si="0"/>
        <v>0</v>
      </c>
      <c r="W19" s="33">
        <f t="shared" si="1"/>
        <v>0</v>
      </c>
    </row>
    <row r="20" spans="1:23" x14ac:dyDescent="0.2">
      <c r="A20">
        <v>19</v>
      </c>
      <c r="B20" s="7" t="s">
        <v>10</v>
      </c>
      <c r="C20" s="8" t="s">
        <v>99</v>
      </c>
      <c r="D20" t="s">
        <v>121</v>
      </c>
      <c r="E20" t="s">
        <v>121</v>
      </c>
      <c r="F20" t="s">
        <v>121</v>
      </c>
      <c r="G20" t="s">
        <v>140</v>
      </c>
      <c r="H20" t="s">
        <v>193</v>
      </c>
      <c r="I20" t="s">
        <v>201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1</v>
      </c>
      <c r="T20">
        <v>0</v>
      </c>
      <c r="U20">
        <v>0</v>
      </c>
      <c r="V20" s="33">
        <f t="shared" si="0"/>
        <v>0</v>
      </c>
      <c r="W20" s="33">
        <f t="shared" si="1"/>
        <v>2</v>
      </c>
    </row>
    <row r="21" spans="1:23" x14ac:dyDescent="0.2">
      <c r="A21">
        <v>20</v>
      </c>
      <c r="B21" s="7" t="s">
        <v>8</v>
      </c>
      <c r="C21" s="8" t="s">
        <v>99</v>
      </c>
      <c r="D21" t="s">
        <v>121</v>
      </c>
      <c r="E21" t="s">
        <v>121</v>
      </c>
      <c r="F21" t="s">
        <v>121</v>
      </c>
      <c r="G21" t="s">
        <v>140</v>
      </c>
      <c r="H21" t="s">
        <v>192</v>
      </c>
      <c r="I21" t="s">
        <v>201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 s="33">
        <f t="shared" si="0"/>
        <v>0</v>
      </c>
      <c r="W21" s="33">
        <f t="shared" si="1"/>
        <v>0</v>
      </c>
    </row>
    <row r="22" spans="1:23" x14ac:dyDescent="0.2">
      <c r="A22">
        <v>21</v>
      </c>
      <c r="B22" s="7" t="s">
        <v>12</v>
      </c>
      <c r="C22" s="8" t="s">
        <v>99</v>
      </c>
      <c r="D22" t="s">
        <v>121</v>
      </c>
      <c r="E22" t="s">
        <v>121</v>
      </c>
      <c r="F22" t="s">
        <v>121</v>
      </c>
      <c r="G22" t="s">
        <v>140</v>
      </c>
      <c r="H22" t="s">
        <v>192</v>
      </c>
      <c r="I22" t="s">
        <v>201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s="33">
        <f t="shared" si="0"/>
        <v>0</v>
      </c>
      <c r="W22" s="33">
        <f t="shared" si="1"/>
        <v>0</v>
      </c>
    </row>
    <row r="23" spans="1:23" x14ac:dyDescent="0.2">
      <c r="A23">
        <v>22</v>
      </c>
      <c r="B23" s="7" t="s">
        <v>163</v>
      </c>
      <c r="C23" s="8" t="s">
        <v>99</v>
      </c>
      <c r="D23" t="s">
        <v>121</v>
      </c>
      <c r="E23" t="s">
        <v>5</v>
      </c>
      <c r="F23" t="s">
        <v>5</v>
      </c>
      <c r="G23" t="s">
        <v>140</v>
      </c>
      <c r="H23" t="s">
        <v>192</v>
      </c>
      <c r="I23" t="s">
        <v>201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s="33">
        <f t="shared" si="0"/>
        <v>0</v>
      </c>
      <c r="W23" s="33">
        <f t="shared" si="1"/>
        <v>0</v>
      </c>
    </row>
    <row r="24" spans="1:23" x14ac:dyDescent="0.2">
      <c r="A24">
        <v>23</v>
      </c>
      <c r="B24" s="7" t="s">
        <v>124</v>
      </c>
      <c r="C24" s="8" t="s">
        <v>99</v>
      </c>
      <c r="D24" t="s">
        <v>121</v>
      </c>
      <c r="E24" t="s">
        <v>5</v>
      </c>
      <c r="F24" t="s">
        <v>5</v>
      </c>
      <c r="G24" t="s">
        <v>140</v>
      </c>
      <c r="H24" t="s">
        <v>192</v>
      </c>
      <c r="I24" t="s">
        <v>201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 s="33">
        <f t="shared" si="0"/>
        <v>0</v>
      </c>
      <c r="W24" s="33">
        <f t="shared" si="1"/>
        <v>1</v>
      </c>
    </row>
    <row r="25" spans="1:23" x14ac:dyDescent="0.2">
      <c r="A25">
        <v>24</v>
      </c>
      <c r="B25" s="7" t="s">
        <v>125</v>
      </c>
      <c r="C25" s="8" t="s">
        <v>99</v>
      </c>
      <c r="D25" t="s">
        <v>121</v>
      </c>
      <c r="E25" t="s">
        <v>5</v>
      </c>
      <c r="F25" t="s">
        <v>5</v>
      </c>
      <c r="G25" t="s">
        <v>140</v>
      </c>
      <c r="H25" t="s">
        <v>192</v>
      </c>
      <c r="I25" t="s">
        <v>201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 s="33">
        <f t="shared" si="0"/>
        <v>0</v>
      </c>
      <c r="W25" s="33">
        <f t="shared" si="1"/>
        <v>0</v>
      </c>
    </row>
    <row r="26" spans="1:23" x14ac:dyDescent="0.2">
      <c r="A26">
        <v>25</v>
      </c>
      <c r="B26" s="7" t="s">
        <v>4</v>
      </c>
      <c r="C26" s="8" t="s">
        <v>99</v>
      </c>
      <c r="D26" t="s">
        <v>121</v>
      </c>
      <c r="E26" t="s">
        <v>5</v>
      </c>
      <c r="F26" t="s">
        <v>5</v>
      </c>
      <c r="G26" t="s">
        <v>140</v>
      </c>
      <c r="H26" t="s">
        <v>192</v>
      </c>
      <c r="I26" t="s">
        <v>201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s="33">
        <f t="shared" si="0"/>
        <v>0</v>
      </c>
      <c r="W26" s="33">
        <f t="shared" si="1"/>
        <v>0</v>
      </c>
    </row>
    <row r="27" spans="1:23" x14ac:dyDescent="0.2">
      <c r="A27">
        <v>26</v>
      </c>
      <c r="B27" s="7" t="s">
        <v>3</v>
      </c>
      <c r="C27" s="8" t="s">
        <v>99</v>
      </c>
      <c r="D27" t="s">
        <v>121</v>
      </c>
      <c r="E27" t="s">
        <v>5</v>
      </c>
      <c r="F27" t="s">
        <v>121</v>
      </c>
      <c r="G27" t="s">
        <v>140</v>
      </c>
      <c r="H27" t="s">
        <v>193</v>
      </c>
      <c r="I27" t="s">
        <v>201</v>
      </c>
      <c r="J27">
        <v>0</v>
      </c>
      <c r="K27">
        <v>0</v>
      </c>
      <c r="L27">
        <v>0</v>
      </c>
      <c r="M27">
        <v>0</v>
      </c>
      <c r="N27">
        <v>1</v>
      </c>
      <c r="O27">
        <v>1</v>
      </c>
      <c r="P27">
        <v>0</v>
      </c>
      <c r="Q27">
        <v>0</v>
      </c>
      <c r="R27">
        <v>1</v>
      </c>
      <c r="S27">
        <v>1</v>
      </c>
      <c r="T27">
        <v>0</v>
      </c>
      <c r="U27">
        <v>0</v>
      </c>
      <c r="V27" s="33">
        <f t="shared" si="0"/>
        <v>2</v>
      </c>
      <c r="W27" s="33">
        <f t="shared" si="1"/>
        <v>2</v>
      </c>
    </row>
    <row r="28" spans="1:23" x14ac:dyDescent="0.2">
      <c r="A28">
        <v>27</v>
      </c>
      <c r="B28" s="7" t="s">
        <v>5</v>
      </c>
      <c r="C28" s="8" t="s">
        <v>99</v>
      </c>
      <c r="D28" t="s">
        <v>121</v>
      </c>
      <c r="E28" t="s">
        <v>5</v>
      </c>
      <c r="F28" t="s">
        <v>5</v>
      </c>
      <c r="G28" t="s">
        <v>140</v>
      </c>
      <c r="H28" t="s">
        <v>192</v>
      </c>
      <c r="I28" t="s">
        <v>201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s="33">
        <f t="shared" si="0"/>
        <v>0</v>
      </c>
      <c r="W28" s="33">
        <f t="shared" si="1"/>
        <v>0</v>
      </c>
    </row>
    <row r="29" spans="1:23" x14ac:dyDescent="0.2">
      <c r="A29">
        <v>28</v>
      </c>
      <c r="B29" s="7" t="s">
        <v>11</v>
      </c>
      <c r="C29" s="8" t="s">
        <v>99</v>
      </c>
      <c r="D29" t="s">
        <v>121</v>
      </c>
      <c r="E29" t="s">
        <v>180</v>
      </c>
      <c r="F29" t="s">
        <v>180</v>
      </c>
      <c r="G29" t="s">
        <v>140</v>
      </c>
      <c r="H29" t="s">
        <v>192</v>
      </c>
      <c r="I29" t="s">
        <v>201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s="33">
        <f t="shared" si="0"/>
        <v>0</v>
      </c>
      <c r="W29" s="33">
        <f t="shared" si="1"/>
        <v>0</v>
      </c>
    </row>
    <row r="30" spans="1:23" x14ac:dyDescent="0.2">
      <c r="A30">
        <v>29</v>
      </c>
      <c r="B30" s="17" t="s">
        <v>41</v>
      </c>
      <c r="C30" s="18" t="s">
        <v>104</v>
      </c>
      <c r="D30" t="s">
        <v>121</v>
      </c>
      <c r="E30" t="s">
        <v>121</v>
      </c>
      <c r="F30" t="s">
        <v>121</v>
      </c>
      <c r="G30" t="s">
        <v>143</v>
      </c>
      <c r="H30" t="s">
        <v>193</v>
      </c>
      <c r="I30" t="s">
        <v>201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s="33">
        <f t="shared" si="0"/>
        <v>0</v>
      </c>
      <c r="W30" s="33">
        <f t="shared" si="1"/>
        <v>0</v>
      </c>
    </row>
    <row r="31" spans="1:23" x14ac:dyDescent="0.2">
      <c r="A31">
        <v>30</v>
      </c>
      <c r="B31" s="17" t="s">
        <v>42</v>
      </c>
      <c r="C31" s="18" t="s">
        <v>104</v>
      </c>
      <c r="D31" t="s">
        <v>121</v>
      </c>
      <c r="E31" t="s">
        <v>121</v>
      </c>
      <c r="F31" t="s">
        <v>121</v>
      </c>
      <c r="G31" t="s">
        <v>143</v>
      </c>
      <c r="H31" t="s">
        <v>193</v>
      </c>
      <c r="I31" t="s">
        <v>201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 s="33">
        <f t="shared" si="0"/>
        <v>0</v>
      </c>
      <c r="W31" s="33">
        <f t="shared" si="1"/>
        <v>1</v>
      </c>
    </row>
    <row r="32" spans="1:23" x14ac:dyDescent="0.2">
      <c r="A32">
        <v>31</v>
      </c>
      <c r="B32" s="17" t="s">
        <v>197</v>
      </c>
      <c r="C32" s="18" t="s">
        <v>104</v>
      </c>
      <c r="D32" t="s">
        <v>121</v>
      </c>
      <c r="E32" t="s">
        <v>121</v>
      </c>
      <c r="F32" t="s">
        <v>121</v>
      </c>
      <c r="G32" t="s">
        <v>144</v>
      </c>
      <c r="H32" t="s">
        <v>193</v>
      </c>
      <c r="I32" t="s">
        <v>201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s="33">
        <f t="shared" si="0"/>
        <v>0</v>
      </c>
      <c r="W32" s="33">
        <f t="shared" si="1"/>
        <v>0</v>
      </c>
    </row>
    <row r="33" spans="1:23" x14ac:dyDescent="0.2">
      <c r="A33">
        <v>32</v>
      </c>
      <c r="B33" s="17" t="s">
        <v>43</v>
      </c>
      <c r="C33" s="18" t="s">
        <v>104</v>
      </c>
      <c r="D33" t="s">
        <v>121</v>
      </c>
      <c r="E33" t="s">
        <v>121</v>
      </c>
      <c r="F33" t="s">
        <v>121</v>
      </c>
      <c r="G33" t="s">
        <v>140</v>
      </c>
      <c r="H33" t="s">
        <v>193</v>
      </c>
      <c r="I33" t="s">
        <v>201</v>
      </c>
      <c r="J33">
        <v>0</v>
      </c>
      <c r="K33">
        <v>1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1</v>
      </c>
      <c r="S33">
        <v>1</v>
      </c>
      <c r="T33">
        <v>0</v>
      </c>
      <c r="U33">
        <v>1</v>
      </c>
      <c r="V33" s="33">
        <f t="shared" si="0"/>
        <v>1</v>
      </c>
      <c r="W33" s="33">
        <f t="shared" si="1"/>
        <v>4</v>
      </c>
    </row>
    <row r="34" spans="1:23" x14ac:dyDescent="0.2">
      <c r="A34">
        <v>33</v>
      </c>
      <c r="B34" s="17" t="s">
        <v>38</v>
      </c>
      <c r="C34" s="18" t="s">
        <v>104</v>
      </c>
      <c r="D34" t="s">
        <v>121</v>
      </c>
      <c r="E34" t="s">
        <v>121</v>
      </c>
      <c r="F34" t="s">
        <v>121</v>
      </c>
      <c r="G34" t="s">
        <v>140</v>
      </c>
      <c r="H34" t="s">
        <v>193</v>
      </c>
      <c r="I34" t="s">
        <v>201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 s="33">
        <f t="shared" si="0"/>
        <v>0</v>
      </c>
      <c r="W34" s="33">
        <f t="shared" si="1"/>
        <v>0</v>
      </c>
    </row>
    <row r="35" spans="1:23" x14ac:dyDescent="0.2">
      <c r="A35">
        <v>34</v>
      </c>
      <c r="B35" s="17" t="s">
        <v>35</v>
      </c>
      <c r="C35" s="18" t="s">
        <v>104</v>
      </c>
      <c r="D35" t="s">
        <v>121</v>
      </c>
      <c r="E35" t="s">
        <v>121</v>
      </c>
      <c r="F35" t="s">
        <v>121</v>
      </c>
      <c r="G35" t="s">
        <v>144</v>
      </c>
      <c r="H35" t="s">
        <v>193</v>
      </c>
      <c r="I35" t="s">
        <v>201</v>
      </c>
      <c r="J35">
        <v>0</v>
      </c>
      <c r="K35">
        <v>0</v>
      </c>
      <c r="L35">
        <v>1</v>
      </c>
      <c r="M35">
        <v>1</v>
      </c>
      <c r="N35">
        <v>0</v>
      </c>
      <c r="O35">
        <v>1</v>
      </c>
      <c r="P35">
        <v>0</v>
      </c>
      <c r="Q35">
        <v>0</v>
      </c>
      <c r="R35">
        <v>0</v>
      </c>
      <c r="S35">
        <v>1</v>
      </c>
      <c r="T35">
        <v>1</v>
      </c>
      <c r="U35">
        <v>0</v>
      </c>
      <c r="V35" s="33">
        <f t="shared" ref="V35:V66" si="2">SUM(J35,L35,N35,P35,R35,T35)</f>
        <v>2</v>
      </c>
      <c r="W35" s="33">
        <f t="shared" ref="W35:W66" si="3">SUM(K35,M35,O35,Q35,S35,U35)</f>
        <v>3</v>
      </c>
    </row>
    <row r="36" spans="1:23" x14ac:dyDescent="0.2">
      <c r="A36">
        <v>35</v>
      </c>
      <c r="B36" s="17" t="s">
        <v>37</v>
      </c>
      <c r="C36" s="18" t="s">
        <v>104</v>
      </c>
      <c r="D36" t="s">
        <v>121</v>
      </c>
      <c r="E36" t="s">
        <v>121</v>
      </c>
      <c r="F36" t="s">
        <v>121</v>
      </c>
      <c r="G36" t="s">
        <v>144</v>
      </c>
      <c r="H36" t="s">
        <v>193</v>
      </c>
      <c r="I36" t="s">
        <v>201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 s="33">
        <f t="shared" si="2"/>
        <v>0</v>
      </c>
      <c r="W36" s="33">
        <f t="shared" si="3"/>
        <v>0</v>
      </c>
    </row>
    <row r="37" spans="1:23" x14ac:dyDescent="0.2">
      <c r="A37">
        <v>36</v>
      </c>
      <c r="B37" s="17" t="s">
        <v>39</v>
      </c>
      <c r="C37" s="18" t="s">
        <v>104</v>
      </c>
      <c r="D37" t="s">
        <v>121</v>
      </c>
      <c r="E37" t="s">
        <v>121</v>
      </c>
      <c r="F37" t="s">
        <v>121</v>
      </c>
      <c r="G37" t="s">
        <v>141</v>
      </c>
      <c r="H37" t="s">
        <v>193</v>
      </c>
      <c r="I37" t="s">
        <v>201</v>
      </c>
      <c r="J37">
        <v>1</v>
      </c>
      <c r="K37">
        <v>1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 s="33">
        <f t="shared" si="2"/>
        <v>2</v>
      </c>
      <c r="W37" s="33">
        <f t="shared" si="3"/>
        <v>3</v>
      </c>
    </row>
    <row r="38" spans="1:23" x14ac:dyDescent="0.2">
      <c r="A38">
        <v>37</v>
      </c>
      <c r="B38" s="17" t="s">
        <v>138</v>
      </c>
      <c r="C38" s="18" t="s">
        <v>104</v>
      </c>
      <c r="D38" t="s">
        <v>121</v>
      </c>
      <c r="E38" t="s">
        <v>121</v>
      </c>
      <c r="F38" t="s">
        <v>121</v>
      </c>
      <c r="G38" t="s">
        <v>140</v>
      </c>
      <c r="H38" t="s">
        <v>193</v>
      </c>
      <c r="I38" t="s">
        <v>201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 s="33">
        <f t="shared" si="2"/>
        <v>0</v>
      </c>
      <c r="W38" s="33">
        <f t="shared" si="3"/>
        <v>1</v>
      </c>
    </row>
    <row r="39" spans="1:23" x14ac:dyDescent="0.2">
      <c r="A39">
        <v>38</v>
      </c>
      <c r="B39" s="17" t="s">
        <v>36</v>
      </c>
      <c r="C39" s="18" t="s">
        <v>104</v>
      </c>
      <c r="D39" t="s">
        <v>121</v>
      </c>
      <c r="E39" t="s">
        <v>121</v>
      </c>
      <c r="F39" t="s">
        <v>121</v>
      </c>
      <c r="G39" t="s">
        <v>142</v>
      </c>
      <c r="H39" t="s">
        <v>193</v>
      </c>
      <c r="I39" t="s">
        <v>201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0</v>
      </c>
      <c r="Q39">
        <v>1</v>
      </c>
      <c r="R39">
        <v>0</v>
      </c>
      <c r="S39">
        <v>1</v>
      </c>
      <c r="T39">
        <v>0</v>
      </c>
      <c r="U39">
        <v>0</v>
      </c>
      <c r="V39" s="33">
        <f t="shared" si="2"/>
        <v>3</v>
      </c>
      <c r="W39" s="33">
        <f t="shared" si="3"/>
        <v>5</v>
      </c>
    </row>
    <row r="40" spans="1:23" x14ac:dyDescent="0.2">
      <c r="A40">
        <v>39</v>
      </c>
      <c r="B40" s="17" t="s">
        <v>33</v>
      </c>
      <c r="C40" s="18" t="s">
        <v>104</v>
      </c>
      <c r="D40" t="s">
        <v>121</v>
      </c>
      <c r="E40" t="s">
        <v>121</v>
      </c>
      <c r="F40" t="s">
        <v>121</v>
      </c>
      <c r="G40" t="s">
        <v>144</v>
      </c>
      <c r="H40" t="s">
        <v>193</v>
      </c>
      <c r="I40" t="s">
        <v>201</v>
      </c>
      <c r="J40">
        <v>1</v>
      </c>
      <c r="K40">
        <v>0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0</v>
      </c>
      <c r="S40">
        <v>1</v>
      </c>
      <c r="T40">
        <v>0</v>
      </c>
      <c r="U40">
        <v>0</v>
      </c>
      <c r="V40" s="33">
        <f t="shared" si="2"/>
        <v>1</v>
      </c>
      <c r="W40" s="33">
        <f t="shared" si="3"/>
        <v>2</v>
      </c>
    </row>
    <row r="41" spans="1:23" x14ac:dyDescent="0.2">
      <c r="A41">
        <v>40</v>
      </c>
      <c r="B41" s="17" t="s">
        <v>34</v>
      </c>
      <c r="C41" s="18" t="s">
        <v>104</v>
      </c>
      <c r="D41" t="s">
        <v>121</v>
      </c>
      <c r="E41" t="s">
        <v>121</v>
      </c>
      <c r="F41" t="s">
        <v>121</v>
      </c>
      <c r="G41" t="s">
        <v>144</v>
      </c>
      <c r="H41" t="s">
        <v>193</v>
      </c>
      <c r="I41" t="s">
        <v>201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 s="33">
        <f t="shared" si="2"/>
        <v>0</v>
      </c>
      <c r="W41" s="33">
        <f t="shared" si="3"/>
        <v>0</v>
      </c>
    </row>
    <row r="42" spans="1:23" x14ac:dyDescent="0.2">
      <c r="A42">
        <v>41</v>
      </c>
      <c r="B42" s="17" t="s">
        <v>40</v>
      </c>
      <c r="C42" s="18" t="s">
        <v>104</v>
      </c>
      <c r="D42" t="s">
        <v>121</v>
      </c>
      <c r="E42" t="s">
        <v>121</v>
      </c>
      <c r="F42" t="s">
        <v>121</v>
      </c>
      <c r="G42" t="s">
        <v>141</v>
      </c>
      <c r="H42" t="s">
        <v>193</v>
      </c>
      <c r="I42" t="s">
        <v>201</v>
      </c>
      <c r="J42">
        <v>1</v>
      </c>
      <c r="K42">
        <v>1</v>
      </c>
      <c r="L42">
        <v>0</v>
      </c>
      <c r="M42">
        <v>1</v>
      </c>
      <c r="N42">
        <v>1</v>
      </c>
      <c r="O42">
        <v>1</v>
      </c>
      <c r="P42">
        <v>0</v>
      </c>
      <c r="Q42">
        <v>1</v>
      </c>
      <c r="R42">
        <v>0</v>
      </c>
      <c r="S42">
        <v>1</v>
      </c>
      <c r="T42">
        <v>0</v>
      </c>
      <c r="U42">
        <v>1</v>
      </c>
      <c r="V42" s="33">
        <f t="shared" si="2"/>
        <v>2</v>
      </c>
      <c r="W42" s="33">
        <f t="shared" si="3"/>
        <v>6</v>
      </c>
    </row>
    <row r="43" spans="1:23" x14ac:dyDescent="0.2">
      <c r="A43">
        <v>42</v>
      </c>
      <c r="B43" s="9" t="s">
        <v>17</v>
      </c>
      <c r="C43" s="10" t="s">
        <v>100</v>
      </c>
      <c r="D43" t="s">
        <v>121</v>
      </c>
      <c r="E43" t="s">
        <v>121</v>
      </c>
      <c r="F43" t="s">
        <v>121</v>
      </c>
      <c r="G43" t="s">
        <v>141</v>
      </c>
      <c r="H43" t="s">
        <v>193</v>
      </c>
      <c r="I43" t="s">
        <v>201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s="33">
        <f t="shared" si="2"/>
        <v>0</v>
      </c>
      <c r="W43" s="33">
        <f t="shared" si="3"/>
        <v>1</v>
      </c>
    </row>
    <row r="44" spans="1:23" x14ac:dyDescent="0.2">
      <c r="A44">
        <v>43</v>
      </c>
      <c r="B44" s="9" t="s">
        <v>15</v>
      </c>
      <c r="C44" s="10" t="s">
        <v>100</v>
      </c>
      <c r="D44" t="s">
        <v>121</v>
      </c>
      <c r="E44" t="s">
        <v>121</v>
      </c>
      <c r="F44" t="s">
        <v>121</v>
      </c>
      <c r="G44" t="s">
        <v>144</v>
      </c>
      <c r="H44" t="s">
        <v>193</v>
      </c>
      <c r="I44" t="s">
        <v>201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 s="33">
        <f t="shared" si="2"/>
        <v>0</v>
      </c>
      <c r="W44" s="33">
        <f t="shared" si="3"/>
        <v>2</v>
      </c>
    </row>
    <row r="45" spans="1:23" x14ac:dyDescent="0.2">
      <c r="A45">
        <v>44</v>
      </c>
      <c r="B45" s="9" t="s">
        <v>19</v>
      </c>
      <c r="C45" s="10" t="s">
        <v>100</v>
      </c>
      <c r="D45" t="s">
        <v>121</v>
      </c>
      <c r="E45" t="s">
        <v>121</v>
      </c>
      <c r="F45" t="s">
        <v>121</v>
      </c>
      <c r="G45" t="s">
        <v>139</v>
      </c>
      <c r="H45" t="s">
        <v>193</v>
      </c>
      <c r="I45" t="s">
        <v>201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s="33">
        <f t="shared" si="2"/>
        <v>0</v>
      </c>
      <c r="W45" s="33">
        <f t="shared" si="3"/>
        <v>0</v>
      </c>
    </row>
    <row r="46" spans="1:23" x14ac:dyDescent="0.2">
      <c r="A46">
        <v>45</v>
      </c>
      <c r="B46" s="9" t="s">
        <v>21</v>
      </c>
      <c r="C46" s="10" t="s">
        <v>100</v>
      </c>
      <c r="D46" t="s">
        <v>121</v>
      </c>
      <c r="E46" t="s">
        <v>121</v>
      </c>
      <c r="F46" t="s">
        <v>121</v>
      </c>
      <c r="G46" t="s">
        <v>139</v>
      </c>
      <c r="H46" t="s">
        <v>193</v>
      </c>
      <c r="I46" t="s">
        <v>201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 s="33">
        <f t="shared" si="2"/>
        <v>0</v>
      </c>
      <c r="W46" s="33">
        <f t="shared" si="3"/>
        <v>1</v>
      </c>
    </row>
    <row r="47" spans="1:23" x14ac:dyDescent="0.2">
      <c r="A47">
        <v>46</v>
      </c>
      <c r="B47" s="9" t="s">
        <v>13</v>
      </c>
      <c r="C47" s="10" t="s">
        <v>100</v>
      </c>
      <c r="D47" t="s">
        <v>121</v>
      </c>
      <c r="E47" t="s">
        <v>121</v>
      </c>
      <c r="F47" t="s">
        <v>121</v>
      </c>
      <c r="G47" t="s">
        <v>141</v>
      </c>
      <c r="H47" t="s">
        <v>193</v>
      </c>
      <c r="I47" t="s">
        <v>201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 s="33">
        <f t="shared" si="2"/>
        <v>0</v>
      </c>
      <c r="W47" s="33">
        <f t="shared" si="3"/>
        <v>1</v>
      </c>
    </row>
    <row r="48" spans="1:23" x14ac:dyDescent="0.2">
      <c r="A48">
        <v>47</v>
      </c>
      <c r="B48" s="9" t="s">
        <v>18</v>
      </c>
      <c r="C48" s="10" t="s">
        <v>100</v>
      </c>
      <c r="D48" t="s">
        <v>121</v>
      </c>
      <c r="E48" t="s">
        <v>156</v>
      </c>
      <c r="F48" t="s">
        <v>121</v>
      </c>
      <c r="G48" t="s">
        <v>144</v>
      </c>
      <c r="H48" t="s">
        <v>193</v>
      </c>
      <c r="I48" t="s">
        <v>201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 s="33">
        <f t="shared" si="2"/>
        <v>0</v>
      </c>
      <c r="W48" s="33">
        <f t="shared" si="3"/>
        <v>0</v>
      </c>
    </row>
    <row r="49" spans="1:23" x14ac:dyDescent="0.2">
      <c r="A49">
        <v>48</v>
      </c>
      <c r="B49" s="9" t="s">
        <v>172</v>
      </c>
      <c r="C49" s="10" t="s">
        <v>100</v>
      </c>
      <c r="D49" t="s">
        <v>121</v>
      </c>
      <c r="E49" t="s">
        <v>157</v>
      </c>
      <c r="F49" t="s">
        <v>157</v>
      </c>
      <c r="G49" t="s">
        <v>144</v>
      </c>
      <c r="H49" t="s">
        <v>192</v>
      </c>
      <c r="I49" t="s">
        <v>201</v>
      </c>
      <c r="J49">
        <v>0</v>
      </c>
      <c r="K49">
        <v>1</v>
      </c>
      <c r="L49">
        <v>0</v>
      </c>
      <c r="M49">
        <v>1</v>
      </c>
      <c r="N49">
        <v>0</v>
      </c>
      <c r="O49">
        <v>0</v>
      </c>
      <c r="P49">
        <v>0</v>
      </c>
      <c r="Q49">
        <v>1</v>
      </c>
      <c r="R49">
        <v>0</v>
      </c>
      <c r="S49">
        <v>1</v>
      </c>
      <c r="T49">
        <v>0</v>
      </c>
      <c r="U49">
        <v>1</v>
      </c>
      <c r="V49" s="33">
        <f t="shared" si="2"/>
        <v>0</v>
      </c>
      <c r="W49" s="33">
        <f t="shared" si="3"/>
        <v>5</v>
      </c>
    </row>
    <row r="50" spans="1:23" x14ac:dyDescent="0.2">
      <c r="A50">
        <v>49</v>
      </c>
      <c r="B50" s="9" t="s">
        <v>16</v>
      </c>
      <c r="C50" s="10" t="s">
        <v>100</v>
      </c>
      <c r="D50" t="s">
        <v>121</v>
      </c>
      <c r="E50" t="s">
        <v>121</v>
      </c>
      <c r="F50" t="s">
        <v>121</v>
      </c>
      <c r="G50" t="s">
        <v>144</v>
      </c>
      <c r="H50" t="s">
        <v>193</v>
      </c>
      <c r="I50" t="s">
        <v>201</v>
      </c>
      <c r="J50">
        <v>0</v>
      </c>
      <c r="K50">
        <v>0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 s="33">
        <f t="shared" si="2"/>
        <v>1</v>
      </c>
      <c r="W50" s="33">
        <f t="shared" si="3"/>
        <v>2</v>
      </c>
    </row>
    <row r="51" spans="1:23" x14ac:dyDescent="0.2">
      <c r="A51">
        <v>50</v>
      </c>
      <c r="B51" s="9" t="s">
        <v>14</v>
      </c>
      <c r="C51" s="10" t="s">
        <v>100</v>
      </c>
      <c r="D51" t="s">
        <v>121</v>
      </c>
      <c r="E51" t="s">
        <v>121</v>
      </c>
      <c r="F51" t="s">
        <v>121</v>
      </c>
      <c r="G51" t="s">
        <v>141</v>
      </c>
      <c r="H51" t="s">
        <v>193</v>
      </c>
      <c r="I51" t="s">
        <v>201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 s="33">
        <f t="shared" si="2"/>
        <v>0</v>
      </c>
      <c r="W51" s="33">
        <f t="shared" si="3"/>
        <v>0</v>
      </c>
    </row>
    <row r="52" spans="1:23" x14ac:dyDescent="0.2">
      <c r="A52">
        <v>51</v>
      </c>
      <c r="B52" s="9" t="s">
        <v>20</v>
      </c>
      <c r="C52" s="10" t="s">
        <v>100</v>
      </c>
      <c r="D52" t="s">
        <v>121</v>
      </c>
      <c r="E52" t="s">
        <v>121</v>
      </c>
      <c r="F52" t="s">
        <v>121</v>
      </c>
      <c r="G52" t="s">
        <v>139</v>
      </c>
      <c r="H52" t="s">
        <v>193</v>
      </c>
      <c r="I52" t="s">
        <v>201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 s="33">
        <f t="shared" si="2"/>
        <v>0</v>
      </c>
      <c r="W52" s="33">
        <f t="shared" si="3"/>
        <v>0</v>
      </c>
    </row>
    <row r="53" spans="1:23" x14ac:dyDescent="0.2">
      <c r="A53">
        <v>52</v>
      </c>
      <c r="B53" s="23" t="s">
        <v>78</v>
      </c>
      <c r="C53" s="8" t="s">
        <v>107</v>
      </c>
      <c r="D53" t="s">
        <v>121</v>
      </c>
      <c r="E53" t="s">
        <v>121</v>
      </c>
      <c r="F53" t="s">
        <v>121</v>
      </c>
      <c r="G53" t="s">
        <v>162</v>
      </c>
      <c r="H53" t="s">
        <v>192</v>
      </c>
      <c r="I53" t="s">
        <v>201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 s="33">
        <f t="shared" si="2"/>
        <v>0</v>
      </c>
      <c r="W53" s="33">
        <f t="shared" si="3"/>
        <v>0</v>
      </c>
    </row>
    <row r="54" spans="1:23" x14ac:dyDescent="0.2">
      <c r="A54">
        <v>53</v>
      </c>
      <c r="B54" s="23" t="s">
        <v>77</v>
      </c>
      <c r="C54" s="8" t="s">
        <v>107</v>
      </c>
      <c r="D54" t="s">
        <v>121</v>
      </c>
      <c r="E54" t="s">
        <v>121</v>
      </c>
      <c r="F54" t="s">
        <v>121</v>
      </c>
      <c r="G54" t="s">
        <v>162</v>
      </c>
      <c r="H54" t="s">
        <v>193</v>
      </c>
      <c r="I54" t="s">
        <v>201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 s="33">
        <f t="shared" si="2"/>
        <v>0</v>
      </c>
      <c r="W54" s="33">
        <f t="shared" si="3"/>
        <v>1</v>
      </c>
    </row>
    <row r="55" spans="1:23" x14ac:dyDescent="0.2">
      <c r="A55">
        <v>54</v>
      </c>
      <c r="B55" s="23" t="s">
        <v>79</v>
      </c>
      <c r="C55" s="8" t="s">
        <v>107</v>
      </c>
      <c r="D55" t="s">
        <v>121</v>
      </c>
      <c r="E55" t="s">
        <v>121</v>
      </c>
      <c r="F55" t="s">
        <v>121</v>
      </c>
      <c r="G55" t="s">
        <v>162</v>
      </c>
      <c r="H55" t="s">
        <v>193</v>
      </c>
      <c r="I55" t="s">
        <v>201</v>
      </c>
      <c r="J55">
        <v>0</v>
      </c>
      <c r="K55">
        <v>0</v>
      </c>
      <c r="L55">
        <v>1</v>
      </c>
      <c r="M55">
        <v>1</v>
      </c>
      <c r="N55">
        <v>0</v>
      </c>
      <c r="O55">
        <v>0</v>
      </c>
      <c r="P55">
        <v>1</v>
      </c>
      <c r="Q55">
        <v>1</v>
      </c>
      <c r="R55">
        <v>0</v>
      </c>
      <c r="S55">
        <v>0</v>
      </c>
      <c r="T55">
        <v>1</v>
      </c>
      <c r="U55">
        <v>1</v>
      </c>
      <c r="V55" s="33">
        <f t="shared" si="2"/>
        <v>3</v>
      </c>
      <c r="W55" s="33">
        <f t="shared" si="3"/>
        <v>3</v>
      </c>
    </row>
    <row r="56" spans="1:23" x14ac:dyDescent="0.2">
      <c r="A56">
        <v>55</v>
      </c>
      <c r="B56" s="23" t="s">
        <v>80</v>
      </c>
      <c r="C56" s="8" t="s">
        <v>107</v>
      </c>
      <c r="D56" t="s">
        <v>121</v>
      </c>
      <c r="E56" t="s">
        <v>121</v>
      </c>
      <c r="F56" t="s">
        <v>121</v>
      </c>
      <c r="G56" t="s">
        <v>162</v>
      </c>
      <c r="H56" t="s">
        <v>192</v>
      </c>
      <c r="I56" t="s">
        <v>201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 s="33">
        <f t="shared" si="2"/>
        <v>0</v>
      </c>
      <c r="W56" s="33">
        <f t="shared" si="3"/>
        <v>0</v>
      </c>
    </row>
    <row r="57" spans="1:23" x14ac:dyDescent="0.2">
      <c r="A57">
        <v>56</v>
      </c>
      <c r="B57" s="23" t="s">
        <v>81</v>
      </c>
      <c r="C57" s="8" t="s">
        <v>107</v>
      </c>
      <c r="D57" t="s">
        <v>121</v>
      </c>
      <c r="E57" t="s">
        <v>121</v>
      </c>
      <c r="F57" t="s">
        <v>121</v>
      </c>
      <c r="G57" t="s">
        <v>162</v>
      </c>
      <c r="H57" t="s">
        <v>192</v>
      </c>
      <c r="I57" t="s">
        <v>201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s="33">
        <f t="shared" si="2"/>
        <v>0</v>
      </c>
      <c r="W57" s="33">
        <f t="shared" si="3"/>
        <v>0</v>
      </c>
    </row>
    <row r="58" spans="1:23" x14ac:dyDescent="0.2">
      <c r="A58">
        <v>57</v>
      </c>
      <c r="B58" s="23" t="s">
        <v>82</v>
      </c>
      <c r="C58" s="8" t="s">
        <v>107</v>
      </c>
      <c r="D58" t="s">
        <v>121</v>
      </c>
      <c r="E58" t="s">
        <v>121</v>
      </c>
      <c r="F58" t="s">
        <v>121</v>
      </c>
      <c r="G58" t="s">
        <v>162</v>
      </c>
      <c r="H58" t="s">
        <v>193</v>
      </c>
      <c r="I58" t="s">
        <v>202</v>
      </c>
      <c r="J58">
        <v>0</v>
      </c>
      <c r="K58">
        <v>0</v>
      </c>
      <c r="L58">
        <v>1</v>
      </c>
      <c r="M58">
        <v>0</v>
      </c>
      <c r="N58">
        <v>1</v>
      </c>
      <c r="O58">
        <v>0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 s="33">
        <f t="shared" si="2"/>
        <v>5</v>
      </c>
      <c r="W58" s="33">
        <f t="shared" si="3"/>
        <v>3</v>
      </c>
    </row>
    <row r="59" spans="1:23" x14ac:dyDescent="0.2">
      <c r="A59">
        <v>58</v>
      </c>
      <c r="B59" s="23" t="s">
        <v>83</v>
      </c>
      <c r="C59" s="8" t="s">
        <v>107</v>
      </c>
      <c r="D59" t="s">
        <v>121</v>
      </c>
      <c r="E59" t="s">
        <v>121</v>
      </c>
      <c r="F59" t="s">
        <v>121</v>
      </c>
      <c r="G59" t="s">
        <v>162</v>
      </c>
      <c r="H59" t="s">
        <v>193</v>
      </c>
      <c r="I59" t="s">
        <v>202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 s="33">
        <f t="shared" si="2"/>
        <v>0</v>
      </c>
      <c r="W59" s="33">
        <f t="shared" si="3"/>
        <v>0</v>
      </c>
    </row>
    <row r="60" spans="1:23" x14ac:dyDescent="0.2">
      <c r="A60">
        <v>59</v>
      </c>
      <c r="B60" s="23" t="s">
        <v>76</v>
      </c>
      <c r="C60" s="8" t="s">
        <v>107</v>
      </c>
      <c r="D60" t="s">
        <v>121</v>
      </c>
      <c r="E60" t="s">
        <v>121</v>
      </c>
      <c r="F60" t="s">
        <v>121</v>
      </c>
      <c r="G60" t="s">
        <v>162</v>
      </c>
      <c r="H60" t="s">
        <v>193</v>
      </c>
      <c r="I60" t="s">
        <v>201</v>
      </c>
      <c r="J60">
        <v>0</v>
      </c>
      <c r="K60">
        <v>0</v>
      </c>
      <c r="L60">
        <v>1</v>
      </c>
      <c r="M60">
        <v>1</v>
      </c>
      <c r="N60">
        <v>0</v>
      </c>
      <c r="O60">
        <v>0</v>
      </c>
      <c r="P60">
        <v>1</v>
      </c>
      <c r="Q60">
        <v>1</v>
      </c>
      <c r="R60">
        <v>0</v>
      </c>
      <c r="S60">
        <v>1</v>
      </c>
      <c r="T60">
        <v>1</v>
      </c>
      <c r="U60">
        <v>1</v>
      </c>
      <c r="V60" s="33">
        <f t="shared" si="2"/>
        <v>3</v>
      </c>
      <c r="W60" s="33">
        <f t="shared" si="3"/>
        <v>4</v>
      </c>
    </row>
    <row r="61" spans="1:23" x14ac:dyDescent="0.2">
      <c r="A61">
        <v>60</v>
      </c>
      <c r="B61" s="5" t="s">
        <v>0</v>
      </c>
      <c r="C61" s="6" t="s">
        <v>98</v>
      </c>
      <c r="D61" t="s">
        <v>121</v>
      </c>
      <c r="E61" t="s">
        <v>121</v>
      </c>
      <c r="F61" t="s">
        <v>121</v>
      </c>
      <c r="G61" t="s">
        <v>139</v>
      </c>
      <c r="H61" t="s">
        <v>192</v>
      </c>
      <c r="I61" t="s">
        <v>201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 s="33">
        <f t="shared" si="2"/>
        <v>0</v>
      </c>
      <c r="W61" s="33">
        <f t="shared" si="3"/>
        <v>0</v>
      </c>
    </row>
    <row r="62" spans="1:23" x14ac:dyDescent="0.2">
      <c r="A62">
        <v>61</v>
      </c>
      <c r="B62" s="5" t="s">
        <v>1</v>
      </c>
      <c r="C62" s="6" t="s">
        <v>98</v>
      </c>
      <c r="D62" t="s">
        <v>121</v>
      </c>
      <c r="E62" t="s">
        <v>121</v>
      </c>
      <c r="F62" t="s">
        <v>121</v>
      </c>
      <c r="G62" t="s">
        <v>139</v>
      </c>
      <c r="H62" t="s">
        <v>193</v>
      </c>
      <c r="I62" t="s">
        <v>201</v>
      </c>
      <c r="J62">
        <v>1</v>
      </c>
      <c r="K62">
        <v>0</v>
      </c>
      <c r="L62">
        <v>0</v>
      </c>
      <c r="M62">
        <v>0</v>
      </c>
      <c r="N62">
        <v>0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1</v>
      </c>
      <c r="V62" s="33">
        <f t="shared" si="2"/>
        <v>1</v>
      </c>
      <c r="W62" s="33">
        <f t="shared" si="3"/>
        <v>3</v>
      </c>
    </row>
    <row r="63" spans="1:23" x14ac:dyDescent="0.2">
      <c r="A63">
        <v>62</v>
      </c>
      <c r="B63" s="24" t="s">
        <v>85</v>
      </c>
      <c r="C63" s="25" t="s">
        <v>108</v>
      </c>
      <c r="D63" t="s">
        <v>173</v>
      </c>
      <c r="E63" t="s">
        <v>137</v>
      </c>
      <c r="F63" t="s">
        <v>198</v>
      </c>
      <c r="G63" t="s">
        <v>162</v>
      </c>
      <c r="H63" t="s">
        <v>193</v>
      </c>
      <c r="I63" t="s">
        <v>201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</v>
      </c>
      <c r="R63">
        <v>0</v>
      </c>
      <c r="S63">
        <v>1</v>
      </c>
      <c r="T63">
        <v>0</v>
      </c>
      <c r="U63">
        <v>1</v>
      </c>
      <c r="V63" s="33">
        <f t="shared" si="2"/>
        <v>0</v>
      </c>
      <c r="W63" s="33">
        <f t="shared" si="3"/>
        <v>3</v>
      </c>
    </row>
    <row r="64" spans="1:23" x14ac:dyDescent="0.2">
      <c r="A64">
        <v>63</v>
      </c>
      <c r="B64" s="24" t="s">
        <v>93</v>
      </c>
      <c r="C64" s="25" t="s">
        <v>108</v>
      </c>
      <c r="D64" t="s">
        <v>174</v>
      </c>
      <c r="E64" t="s">
        <v>174</v>
      </c>
      <c r="F64" t="s">
        <v>199</v>
      </c>
      <c r="G64" t="s">
        <v>162</v>
      </c>
      <c r="H64" t="s">
        <v>193</v>
      </c>
      <c r="I64" t="s">
        <v>201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 s="33">
        <f t="shared" si="2"/>
        <v>0</v>
      </c>
      <c r="W64" s="33">
        <f t="shared" si="3"/>
        <v>1</v>
      </c>
    </row>
    <row r="65" spans="1:24" x14ac:dyDescent="0.2">
      <c r="A65">
        <v>64</v>
      </c>
      <c r="B65" s="24" t="s">
        <v>86</v>
      </c>
      <c r="C65" s="25" t="s">
        <v>108</v>
      </c>
      <c r="D65" t="s">
        <v>173</v>
      </c>
      <c r="E65" t="s">
        <v>173</v>
      </c>
      <c r="F65" t="s">
        <v>198</v>
      </c>
      <c r="G65" t="s">
        <v>162</v>
      </c>
      <c r="H65" t="s">
        <v>193</v>
      </c>
      <c r="I65" t="s">
        <v>201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0</v>
      </c>
      <c r="S65">
        <v>1</v>
      </c>
      <c r="T65">
        <v>1</v>
      </c>
      <c r="U65">
        <v>1</v>
      </c>
      <c r="V65" s="33">
        <f t="shared" si="2"/>
        <v>5</v>
      </c>
      <c r="W65" s="33">
        <f t="shared" si="3"/>
        <v>6</v>
      </c>
    </row>
    <row r="66" spans="1:24" x14ac:dyDescent="0.2">
      <c r="A66">
        <v>65</v>
      </c>
      <c r="B66" s="24" t="s">
        <v>87</v>
      </c>
      <c r="C66" s="25" t="s">
        <v>108</v>
      </c>
      <c r="D66" t="s">
        <v>175</v>
      </c>
      <c r="E66" t="s">
        <v>175</v>
      </c>
      <c r="F66" t="s">
        <v>199</v>
      </c>
      <c r="G66" t="s">
        <v>162</v>
      </c>
      <c r="H66" t="s">
        <v>193</v>
      </c>
      <c r="I66" t="s">
        <v>201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 s="33">
        <f t="shared" si="2"/>
        <v>0</v>
      </c>
      <c r="W66" s="33">
        <f t="shared" si="3"/>
        <v>0</v>
      </c>
    </row>
    <row r="67" spans="1:24" x14ac:dyDescent="0.2">
      <c r="A67">
        <v>66</v>
      </c>
      <c r="B67" s="24" t="s">
        <v>88</v>
      </c>
      <c r="C67" s="25" t="s">
        <v>108</v>
      </c>
      <c r="D67" t="s">
        <v>176</v>
      </c>
      <c r="E67" t="s">
        <v>176</v>
      </c>
      <c r="F67" t="s">
        <v>121</v>
      </c>
      <c r="G67" t="s">
        <v>162</v>
      </c>
      <c r="H67" t="s">
        <v>193</v>
      </c>
      <c r="I67" t="s">
        <v>201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s="33">
        <f t="shared" ref="V67:V98" si="4">SUM(J67,L67,N67,P67,R67,T67)</f>
        <v>0</v>
      </c>
      <c r="W67" s="33">
        <f t="shared" ref="W67:W98" si="5">SUM(K67,M67,O67,Q67,S67,U67)</f>
        <v>1</v>
      </c>
    </row>
    <row r="68" spans="1:24" x14ac:dyDescent="0.2">
      <c r="A68">
        <v>67</v>
      </c>
      <c r="B68" s="24" t="s">
        <v>84</v>
      </c>
      <c r="C68" s="25" t="s">
        <v>108</v>
      </c>
      <c r="D68" t="s">
        <v>175</v>
      </c>
      <c r="E68" t="s">
        <v>175</v>
      </c>
      <c r="F68" t="s">
        <v>199</v>
      </c>
      <c r="G68" t="s">
        <v>162</v>
      </c>
      <c r="H68" t="s">
        <v>193</v>
      </c>
      <c r="I68" t="s">
        <v>201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 s="33">
        <f t="shared" si="4"/>
        <v>0</v>
      </c>
      <c r="W68" s="33">
        <f t="shared" si="5"/>
        <v>0</v>
      </c>
    </row>
    <row r="69" spans="1:24" x14ac:dyDescent="0.2">
      <c r="A69">
        <v>68</v>
      </c>
      <c r="B69" s="24" t="s">
        <v>89</v>
      </c>
      <c r="C69" s="25" t="s">
        <v>108</v>
      </c>
      <c r="D69" t="s">
        <v>175</v>
      </c>
      <c r="E69" t="s">
        <v>175</v>
      </c>
      <c r="F69" t="s">
        <v>199</v>
      </c>
      <c r="G69" t="s">
        <v>162</v>
      </c>
      <c r="H69" t="s">
        <v>193</v>
      </c>
      <c r="I69" t="s">
        <v>201</v>
      </c>
      <c r="J69">
        <v>0</v>
      </c>
      <c r="K69">
        <v>1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 s="33">
        <f t="shared" si="4"/>
        <v>0</v>
      </c>
      <c r="W69" s="33">
        <f t="shared" si="5"/>
        <v>2</v>
      </c>
    </row>
    <row r="70" spans="1:24" x14ac:dyDescent="0.2">
      <c r="A70">
        <v>69</v>
      </c>
      <c r="B70" s="24" t="s">
        <v>95</v>
      </c>
      <c r="C70" s="25" t="s">
        <v>108</v>
      </c>
      <c r="D70" t="s">
        <v>175</v>
      </c>
      <c r="E70" t="s">
        <v>175</v>
      </c>
      <c r="F70" t="s">
        <v>199</v>
      </c>
      <c r="G70" t="s">
        <v>162</v>
      </c>
      <c r="H70" t="s">
        <v>193</v>
      </c>
      <c r="I70" t="s">
        <v>201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 s="33">
        <f t="shared" si="4"/>
        <v>0</v>
      </c>
      <c r="W70" s="33">
        <f t="shared" si="5"/>
        <v>0</v>
      </c>
    </row>
    <row r="71" spans="1:24" x14ac:dyDescent="0.2">
      <c r="A71">
        <v>70</v>
      </c>
      <c r="B71" s="24" t="s">
        <v>94</v>
      </c>
      <c r="C71" s="25" t="s">
        <v>108</v>
      </c>
      <c r="D71" t="s">
        <v>175</v>
      </c>
      <c r="E71" t="s">
        <v>175</v>
      </c>
      <c r="F71" t="s">
        <v>199</v>
      </c>
      <c r="G71" t="s">
        <v>162</v>
      </c>
      <c r="H71" t="s">
        <v>193</v>
      </c>
      <c r="I71" t="s">
        <v>201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 s="33">
        <f t="shared" si="4"/>
        <v>0</v>
      </c>
      <c r="W71" s="33">
        <f t="shared" si="5"/>
        <v>0</v>
      </c>
    </row>
    <row r="72" spans="1:24" x14ac:dyDescent="0.2">
      <c r="A72">
        <v>71</v>
      </c>
      <c r="B72" s="24" t="s">
        <v>92</v>
      </c>
      <c r="C72" s="25" t="s">
        <v>108</v>
      </c>
      <c r="D72" t="s">
        <v>177</v>
      </c>
      <c r="E72" t="s">
        <v>177</v>
      </c>
      <c r="F72" t="s">
        <v>199</v>
      </c>
      <c r="G72" t="s">
        <v>162</v>
      </c>
      <c r="H72" t="s">
        <v>193</v>
      </c>
      <c r="I72" t="s">
        <v>201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1</v>
      </c>
      <c r="V72" s="33">
        <f t="shared" si="4"/>
        <v>0</v>
      </c>
      <c r="W72" s="33">
        <f t="shared" si="5"/>
        <v>3</v>
      </c>
    </row>
    <row r="73" spans="1:24" x14ac:dyDescent="0.2">
      <c r="A73">
        <v>72</v>
      </c>
      <c r="B73" s="24" t="s">
        <v>91</v>
      </c>
      <c r="C73" s="25" t="s">
        <v>108</v>
      </c>
      <c r="D73" t="s">
        <v>174</v>
      </c>
      <c r="E73" t="s">
        <v>174</v>
      </c>
      <c r="F73" t="s">
        <v>199</v>
      </c>
      <c r="G73" t="s">
        <v>162</v>
      </c>
      <c r="H73" t="s">
        <v>193</v>
      </c>
      <c r="I73" t="s">
        <v>201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1</v>
      </c>
      <c r="V73" s="33">
        <f t="shared" si="4"/>
        <v>0</v>
      </c>
      <c r="W73" s="33">
        <f t="shared" si="5"/>
        <v>2</v>
      </c>
    </row>
    <row r="74" spans="1:24" x14ac:dyDescent="0.2">
      <c r="A74">
        <v>73</v>
      </c>
      <c r="B74" s="24" t="s">
        <v>168</v>
      </c>
      <c r="C74" s="25" t="s">
        <v>108</v>
      </c>
      <c r="D74" t="s">
        <v>174</v>
      </c>
      <c r="E74" t="s">
        <v>174</v>
      </c>
      <c r="F74" t="s">
        <v>199</v>
      </c>
      <c r="G74" t="s">
        <v>162</v>
      </c>
      <c r="H74" t="s">
        <v>193</v>
      </c>
      <c r="I74" t="s">
        <v>201</v>
      </c>
      <c r="J74">
        <v>1</v>
      </c>
      <c r="K74">
        <v>1</v>
      </c>
      <c r="L74">
        <v>0</v>
      </c>
      <c r="M74">
        <v>0</v>
      </c>
      <c r="N74">
        <v>1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 s="33">
        <f t="shared" si="4"/>
        <v>2</v>
      </c>
      <c r="W74" s="33">
        <f t="shared" si="5"/>
        <v>2</v>
      </c>
    </row>
    <row r="75" spans="1:24" x14ac:dyDescent="0.2">
      <c r="A75">
        <v>74</v>
      </c>
      <c r="B75" s="24" t="s">
        <v>169</v>
      </c>
      <c r="C75" s="25" t="s">
        <v>108</v>
      </c>
      <c r="D75" t="s">
        <v>169</v>
      </c>
      <c r="E75" t="s">
        <v>169</v>
      </c>
      <c r="F75" t="s">
        <v>200</v>
      </c>
      <c r="G75" t="s">
        <v>162</v>
      </c>
      <c r="H75" t="s">
        <v>193</v>
      </c>
      <c r="I75" t="s">
        <v>201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 s="33">
        <f t="shared" si="4"/>
        <v>0</v>
      </c>
      <c r="W75" s="33">
        <f t="shared" si="5"/>
        <v>2</v>
      </c>
      <c r="X75" t="s">
        <v>132</v>
      </c>
    </row>
    <row r="76" spans="1:24" x14ac:dyDescent="0.2">
      <c r="A76">
        <v>75</v>
      </c>
      <c r="B76" s="24" t="s">
        <v>170</v>
      </c>
      <c r="C76" s="25" t="s">
        <v>108</v>
      </c>
      <c r="D76" t="s">
        <v>170</v>
      </c>
      <c r="E76" t="s">
        <v>170</v>
      </c>
      <c r="F76" t="s">
        <v>121</v>
      </c>
      <c r="G76" t="s">
        <v>162</v>
      </c>
      <c r="H76" t="s">
        <v>192</v>
      </c>
      <c r="I76" t="s">
        <v>201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0</v>
      </c>
      <c r="R76">
        <v>0</v>
      </c>
      <c r="S76">
        <v>1</v>
      </c>
      <c r="T76">
        <v>0</v>
      </c>
      <c r="U76">
        <v>0</v>
      </c>
      <c r="V76" s="33">
        <f t="shared" si="4"/>
        <v>0</v>
      </c>
      <c r="W76" s="33">
        <f t="shared" si="5"/>
        <v>2</v>
      </c>
      <c r="X76" t="s">
        <v>132</v>
      </c>
    </row>
    <row r="77" spans="1:24" x14ac:dyDescent="0.2">
      <c r="A77">
        <v>76</v>
      </c>
      <c r="B77" s="24" t="s">
        <v>171</v>
      </c>
      <c r="C77" s="25" t="s">
        <v>108</v>
      </c>
      <c r="D77" t="s">
        <v>171</v>
      </c>
      <c r="E77" t="s">
        <v>171</v>
      </c>
      <c r="F77" t="s">
        <v>199</v>
      </c>
      <c r="G77" t="s">
        <v>162</v>
      </c>
      <c r="H77" t="s">
        <v>193</v>
      </c>
      <c r="I77" t="s">
        <v>201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 s="33">
        <f t="shared" si="4"/>
        <v>0</v>
      </c>
      <c r="W77" s="33">
        <f t="shared" si="5"/>
        <v>0</v>
      </c>
      <c r="X77" t="s">
        <v>132</v>
      </c>
    </row>
    <row r="78" spans="1:24" x14ac:dyDescent="0.2">
      <c r="A78">
        <v>77</v>
      </c>
      <c r="B78" s="24" t="s">
        <v>96</v>
      </c>
      <c r="C78" s="25" t="s">
        <v>108</v>
      </c>
      <c r="D78" t="s">
        <v>175</v>
      </c>
      <c r="E78" t="s">
        <v>175</v>
      </c>
      <c r="F78" t="s">
        <v>199</v>
      </c>
      <c r="G78" t="s">
        <v>162</v>
      </c>
      <c r="H78" t="s">
        <v>193</v>
      </c>
      <c r="I78" t="s">
        <v>201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1</v>
      </c>
      <c r="R78">
        <v>0</v>
      </c>
      <c r="S78">
        <v>1</v>
      </c>
      <c r="T78">
        <v>0</v>
      </c>
      <c r="U78">
        <v>0</v>
      </c>
      <c r="V78" s="33">
        <f t="shared" si="4"/>
        <v>0</v>
      </c>
      <c r="W78" s="33">
        <f t="shared" si="5"/>
        <v>3</v>
      </c>
    </row>
    <row r="79" spans="1:24" x14ac:dyDescent="0.2">
      <c r="A79">
        <v>78</v>
      </c>
      <c r="B79" s="24" t="s">
        <v>90</v>
      </c>
      <c r="C79" s="25" t="s">
        <v>108</v>
      </c>
      <c r="D79" t="s">
        <v>174</v>
      </c>
      <c r="E79" t="s">
        <v>174</v>
      </c>
      <c r="F79" t="s">
        <v>199</v>
      </c>
      <c r="G79" t="s">
        <v>162</v>
      </c>
      <c r="H79" t="s">
        <v>193</v>
      </c>
      <c r="I79" t="s">
        <v>201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 s="33">
        <f t="shared" si="4"/>
        <v>0</v>
      </c>
      <c r="W79" s="33">
        <f t="shared" si="5"/>
        <v>0</v>
      </c>
    </row>
    <row r="80" spans="1:24" x14ac:dyDescent="0.2">
      <c r="A80">
        <v>79</v>
      </c>
      <c r="B80" s="19" t="s">
        <v>128</v>
      </c>
      <c r="C80" s="20" t="s">
        <v>105</v>
      </c>
      <c r="D80" t="s">
        <v>121</v>
      </c>
      <c r="E80" t="s">
        <v>160</v>
      </c>
      <c r="F80" t="s">
        <v>160</v>
      </c>
      <c r="G80" t="s">
        <v>139</v>
      </c>
      <c r="H80" t="s">
        <v>192</v>
      </c>
      <c r="I80" t="s">
        <v>201</v>
      </c>
      <c r="J80">
        <v>0</v>
      </c>
      <c r="K80">
        <v>0</v>
      </c>
      <c r="L80">
        <v>0</v>
      </c>
      <c r="M80">
        <v>1</v>
      </c>
      <c r="N80">
        <v>1</v>
      </c>
      <c r="O80">
        <v>1</v>
      </c>
      <c r="P80">
        <v>1</v>
      </c>
      <c r="Q80">
        <v>0</v>
      </c>
      <c r="R80">
        <v>1</v>
      </c>
      <c r="S80">
        <v>1</v>
      </c>
      <c r="T80">
        <v>0</v>
      </c>
      <c r="U80">
        <v>1</v>
      </c>
      <c r="V80" s="33">
        <f t="shared" si="4"/>
        <v>3</v>
      </c>
      <c r="W80" s="33">
        <f t="shared" si="5"/>
        <v>4</v>
      </c>
    </row>
    <row r="81" spans="1:23" x14ac:dyDescent="0.2">
      <c r="A81">
        <v>80</v>
      </c>
      <c r="B81" s="19" t="s">
        <v>44</v>
      </c>
      <c r="C81" s="20" t="s">
        <v>105</v>
      </c>
      <c r="D81" t="s">
        <v>121</v>
      </c>
      <c r="E81" t="s">
        <v>121</v>
      </c>
      <c r="F81" t="s">
        <v>121</v>
      </c>
      <c r="G81" t="s">
        <v>139</v>
      </c>
      <c r="H81" t="s">
        <v>192</v>
      </c>
      <c r="I81" t="s">
        <v>201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 s="33">
        <f t="shared" si="4"/>
        <v>0</v>
      </c>
      <c r="W81" s="33">
        <f t="shared" si="5"/>
        <v>0</v>
      </c>
    </row>
    <row r="82" spans="1:23" x14ac:dyDescent="0.2">
      <c r="A82">
        <v>81</v>
      </c>
      <c r="B82" s="19" t="s">
        <v>48</v>
      </c>
      <c r="C82" s="20" t="s">
        <v>105</v>
      </c>
      <c r="D82" t="s">
        <v>121</v>
      </c>
      <c r="E82" t="s">
        <v>121</v>
      </c>
      <c r="F82" t="s">
        <v>121</v>
      </c>
      <c r="G82" t="s">
        <v>139</v>
      </c>
      <c r="H82" t="s">
        <v>192</v>
      </c>
      <c r="I82" t="s">
        <v>201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1</v>
      </c>
      <c r="T82">
        <v>0</v>
      </c>
      <c r="U82">
        <v>1</v>
      </c>
      <c r="V82" s="33">
        <f t="shared" si="4"/>
        <v>1</v>
      </c>
      <c r="W82" s="33">
        <f t="shared" si="5"/>
        <v>3</v>
      </c>
    </row>
    <row r="83" spans="1:23" x14ac:dyDescent="0.2">
      <c r="A83">
        <v>82</v>
      </c>
      <c r="B83" s="19" t="s">
        <v>45</v>
      </c>
      <c r="C83" s="20" t="s">
        <v>105</v>
      </c>
      <c r="D83" t="s">
        <v>121</v>
      </c>
      <c r="E83" t="s">
        <v>121</v>
      </c>
      <c r="F83" t="s">
        <v>121</v>
      </c>
      <c r="G83" t="s">
        <v>139</v>
      </c>
      <c r="H83" t="s">
        <v>192</v>
      </c>
      <c r="I83" t="s">
        <v>201</v>
      </c>
      <c r="J83">
        <v>0</v>
      </c>
      <c r="K83">
        <v>0</v>
      </c>
      <c r="L83">
        <v>0</v>
      </c>
      <c r="M83">
        <v>0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1</v>
      </c>
      <c r="V83" s="33">
        <f t="shared" si="4"/>
        <v>0</v>
      </c>
      <c r="W83" s="33">
        <f t="shared" si="5"/>
        <v>2</v>
      </c>
    </row>
    <row r="84" spans="1:23" x14ac:dyDescent="0.2">
      <c r="A84">
        <v>83</v>
      </c>
      <c r="B84" s="19" t="s">
        <v>50</v>
      </c>
      <c r="C84" s="20" t="s">
        <v>105</v>
      </c>
      <c r="D84" s="26" t="s">
        <v>121</v>
      </c>
      <c r="E84" s="26" t="s">
        <v>161</v>
      </c>
      <c r="F84" s="26" t="s">
        <v>161</v>
      </c>
      <c r="G84" t="s">
        <v>139</v>
      </c>
      <c r="H84" t="s">
        <v>192</v>
      </c>
      <c r="I84" t="s">
        <v>201</v>
      </c>
      <c r="J84">
        <v>0</v>
      </c>
      <c r="K84">
        <v>1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 s="33">
        <f t="shared" si="4"/>
        <v>0</v>
      </c>
      <c r="W84" s="33">
        <f t="shared" si="5"/>
        <v>3</v>
      </c>
    </row>
    <row r="85" spans="1:23" x14ac:dyDescent="0.2">
      <c r="A85">
        <v>84</v>
      </c>
      <c r="B85" s="19" t="s">
        <v>51</v>
      </c>
      <c r="C85" s="20" t="s">
        <v>105</v>
      </c>
      <c r="D85" s="26" t="s">
        <v>121</v>
      </c>
      <c r="E85" s="26" t="s">
        <v>161</v>
      </c>
      <c r="F85" s="26" t="s">
        <v>161</v>
      </c>
      <c r="G85" t="s">
        <v>139</v>
      </c>
      <c r="H85" t="s">
        <v>192</v>
      </c>
      <c r="I85" t="s">
        <v>201</v>
      </c>
      <c r="J85">
        <v>1</v>
      </c>
      <c r="K85">
        <v>1</v>
      </c>
      <c r="L85">
        <v>1</v>
      </c>
      <c r="M85">
        <v>0</v>
      </c>
      <c r="N85">
        <v>1</v>
      </c>
      <c r="O85">
        <v>1</v>
      </c>
      <c r="P85">
        <v>0</v>
      </c>
      <c r="Q85">
        <v>0</v>
      </c>
      <c r="R85">
        <v>1</v>
      </c>
      <c r="S85">
        <v>1</v>
      </c>
      <c r="T85">
        <v>0</v>
      </c>
      <c r="U85">
        <v>0</v>
      </c>
      <c r="V85" s="33">
        <f t="shared" si="4"/>
        <v>4</v>
      </c>
      <c r="W85" s="33">
        <f t="shared" si="5"/>
        <v>3</v>
      </c>
    </row>
    <row r="86" spans="1:23" x14ac:dyDescent="0.2">
      <c r="A86">
        <v>85</v>
      </c>
      <c r="B86" s="19" t="s">
        <v>52</v>
      </c>
      <c r="C86" s="20" t="s">
        <v>105</v>
      </c>
      <c r="D86" t="s">
        <v>121</v>
      </c>
      <c r="E86" t="s">
        <v>121</v>
      </c>
      <c r="F86" t="s">
        <v>121</v>
      </c>
      <c r="G86" t="s">
        <v>139</v>
      </c>
      <c r="H86" t="s">
        <v>192</v>
      </c>
      <c r="I86" t="s">
        <v>201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 s="33">
        <f t="shared" si="4"/>
        <v>0</v>
      </c>
      <c r="W86" s="33">
        <f t="shared" si="5"/>
        <v>0</v>
      </c>
    </row>
    <row r="87" spans="1:23" x14ac:dyDescent="0.2">
      <c r="A87">
        <v>86</v>
      </c>
      <c r="B87" s="19" t="s">
        <v>49</v>
      </c>
      <c r="C87" s="20" t="s">
        <v>105</v>
      </c>
      <c r="D87" t="s">
        <v>121</v>
      </c>
      <c r="E87" t="s">
        <v>121</v>
      </c>
      <c r="F87" t="s">
        <v>121</v>
      </c>
      <c r="G87" t="s">
        <v>139</v>
      </c>
      <c r="H87" t="s">
        <v>192</v>
      </c>
      <c r="I87" t="s">
        <v>201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 s="33">
        <f t="shared" si="4"/>
        <v>0</v>
      </c>
      <c r="W87" s="33">
        <f t="shared" si="5"/>
        <v>1</v>
      </c>
    </row>
    <row r="88" spans="1:23" x14ac:dyDescent="0.2">
      <c r="A88">
        <v>87</v>
      </c>
      <c r="B88" s="19" t="s">
        <v>46</v>
      </c>
      <c r="C88" s="20" t="s">
        <v>105</v>
      </c>
      <c r="D88" t="s">
        <v>121</v>
      </c>
      <c r="E88" t="s">
        <v>121</v>
      </c>
      <c r="F88" t="s">
        <v>121</v>
      </c>
      <c r="G88" t="s">
        <v>139</v>
      </c>
      <c r="H88" t="s">
        <v>192</v>
      </c>
      <c r="I88" t="s">
        <v>201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 s="33">
        <f t="shared" si="4"/>
        <v>0</v>
      </c>
      <c r="W88" s="33">
        <f t="shared" si="5"/>
        <v>1</v>
      </c>
    </row>
    <row r="89" spans="1:23" x14ac:dyDescent="0.2">
      <c r="A89">
        <v>88</v>
      </c>
      <c r="B89" s="19" t="s">
        <v>47</v>
      </c>
      <c r="C89" s="20" t="s">
        <v>105</v>
      </c>
      <c r="D89" t="s">
        <v>121</v>
      </c>
      <c r="E89" t="s">
        <v>121</v>
      </c>
      <c r="F89" t="s">
        <v>121</v>
      </c>
      <c r="G89" t="s">
        <v>139</v>
      </c>
      <c r="H89" t="s">
        <v>192</v>
      </c>
      <c r="I89" t="s">
        <v>201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s="33">
        <f t="shared" si="4"/>
        <v>0</v>
      </c>
      <c r="W89" s="33">
        <f t="shared" si="5"/>
        <v>0</v>
      </c>
    </row>
    <row r="90" spans="1:23" x14ac:dyDescent="0.2">
      <c r="A90">
        <v>89</v>
      </c>
      <c r="B90" s="19" t="s">
        <v>130</v>
      </c>
      <c r="C90" s="20" t="s">
        <v>105</v>
      </c>
      <c r="D90" t="s">
        <v>121</v>
      </c>
      <c r="E90" t="s">
        <v>121</v>
      </c>
      <c r="F90" t="s">
        <v>121</v>
      </c>
      <c r="G90" t="s">
        <v>139</v>
      </c>
      <c r="H90" t="s">
        <v>192</v>
      </c>
      <c r="I90" t="s">
        <v>201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 s="33">
        <f t="shared" si="4"/>
        <v>0</v>
      </c>
      <c r="W90" s="33">
        <f t="shared" si="5"/>
        <v>1</v>
      </c>
    </row>
    <row r="91" spans="1:23" x14ac:dyDescent="0.2">
      <c r="A91">
        <v>90</v>
      </c>
      <c r="B91" s="21" t="s">
        <v>54</v>
      </c>
      <c r="C91" s="22" t="s">
        <v>106</v>
      </c>
      <c r="D91" t="s">
        <v>121</v>
      </c>
      <c r="E91" t="s">
        <v>121</v>
      </c>
      <c r="F91" t="s">
        <v>121</v>
      </c>
      <c r="G91" t="s">
        <v>144</v>
      </c>
      <c r="H91" t="s">
        <v>192</v>
      </c>
      <c r="I91" t="s">
        <v>202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 s="33">
        <f t="shared" si="4"/>
        <v>0</v>
      </c>
      <c r="W91" s="33">
        <f t="shared" si="5"/>
        <v>1</v>
      </c>
    </row>
    <row r="92" spans="1:23" x14ac:dyDescent="0.2">
      <c r="A92">
        <v>91</v>
      </c>
      <c r="B92" s="21" t="s">
        <v>123</v>
      </c>
      <c r="C92" s="22" t="s">
        <v>106</v>
      </c>
      <c r="D92" t="s">
        <v>121</v>
      </c>
      <c r="E92" t="s">
        <v>121</v>
      </c>
      <c r="F92" t="s">
        <v>121</v>
      </c>
      <c r="G92" t="s">
        <v>141</v>
      </c>
      <c r="H92" t="s">
        <v>192</v>
      </c>
      <c r="I92" t="s">
        <v>202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 s="33">
        <f t="shared" si="4"/>
        <v>1</v>
      </c>
      <c r="W92" s="33">
        <f t="shared" si="5"/>
        <v>0</v>
      </c>
    </row>
    <row r="93" spans="1:23" x14ac:dyDescent="0.2">
      <c r="A93">
        <v>92</v>
      </c>
      <c r="B93" s="21" t="s">
        <v>55</v>
      </c>
      <c r="C93" s="22" t="s">
        <v>106</v>
      </c>
      <c r="D93" t="s">
        <v>121</v>
      </c>
      <c r="E93" t="s">
        <v>121</v>
      </c>
      <c r="F93" t="s">
        <v>121</v>
      </c>
      <c r="G93" t="s">
        <v>144</v>
      </c>
      <c r="H93" t="s">
        <v>193</v>
      </c>
      <c r="I93" t="s">
        <v>202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 s="33">
        <f t="shared" si="4"/>
        <v>0</v>
      </c>
      <c r="W93" s="33">
        <f t="shared" si="5"/>
        <v>0</v>
      </c>
    </row>
    <row r="94" spans="1:23" x14ac:dyDescent="0.2">
      <c r="A94">
        <v>93</v>
      </c>
      <c r="B94" s="21" t="s">
        <v>56</v>
      </c>
      <c r="C94" s="22" t="s">
        <v>106</v>
      </c>
      <c r="D94" t="s">
        <v>121</v>
      </c>
      <c r="E94" t="s">
        <v>121</v>
      </c>
      <c r="F94" t="s">
        <v>121</v>
      </c>
      <c r="G94" t="s">
        <v>144</v>
      </c>
      <c r="H94" t="s">
        <v>193</v>
      </c>
      <c r="I94" t="s">
        <v>202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 s="33">
        <f t="shared" si="4"/>
        <v>1</v>
      </c>
      <c r="W94" s="33">
        <f t="shared" si="5"/>
        <v>0</v>
      </c>
    </row>
    <row r="95" spans="1:23" x14ac:dyDescent="0.2">
      <c r="A95">
        <v>94</v>
      </c>
      <c r="B95" s="21" t="s">
        <v>63</v>
      </c>
      <c r="C95" s="22" t="s">
        <v>106</v>
      </c>
      <c r="D95" t="s">
        <v>121</v>
      </c>
      <c r="E95" t="s">
        <v>121</v>
      </c>
      <c r="F95" t="s">
        <v>121</v>
      </c>
      <c r="G95" t="s">
        <v>141</v>
      </c>
      <c r="H95" t="s">
        <v>193</v>
      </c>
      <c r="I95" t="s">
        <v>202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 s="33">
        <f t="shared" si="4"/>
        <v>0</v>
      </c>
      <c r="W95" s="33">
        <f t="shared" si="5"/>
        <v>0</v>
      </c>
    </row>
    <row r="96" spans="1:23" x14ac:dyDescent="0.2">
      <c r="A96">
        <v>95</v>
      </c>
      <c r="B96" s="21" t="s">
        <v>73</v>
      </c>
      <c r="C96" s="22" t="s">
        <v>106</v>
      </c>
      <c r="D96" t="s">
        <v>121</v>
      </c>
      <c r="E96" t="s">
        <v>121</v>
      </c>
      <c r="F96" t="s">
        <v>121</v>
      </c>
      <c r="G96" t="s">
        <v>144</v>
      </c>
      <c r="H96" t="s">
        <v>193</v>
      </c>
      <c r="I96" t="s">
        <v>202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 s="33">
        <f t="shared" si="4"/>
        <v>0</v>
      </c>
      <c r="W96" s="33">
        <f t="shared" si="5"/>
        <v>0</v>
      </c>
    </row>
    <row r="97" spans="1:23" x14ac:dyDescent="0.2">
      <c r="A97">
        <v>96</v>
      </c>
      <c r="B97" s="21" t="s">
        <v>57</v>
      </c>
      <c r="C97" s="22" t="s">
        <v>106</v>
      </c>
      <c r="D97" t="s">
        <v>121</v>
      </c>
      <c r="E97" t="s">
        <v>121</v>
      </c>
      <c r="F97" t="s">
        <v>121</v>
      </c>
      <c r="G97" t="s">
        <v>144</v>
      </c>
      <c r="H97" t="s">
        <v>192</v>
      </c>
      <c r="I97" t="s">
        <v>202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 s="33">
        <f t="shared" si="4"/>
        <v>0</v>
      </c>
      <c r="W97" s="33">
        <f t="shared" si="5"/>
        <v>0</v>
      </c>
    </row>
    <row r="98" spans="1:23" x14ac:dyDescent="0.2">
      <c r="A98">
        <v>97</v>
      </c>
      <c r="B98" s="21" t="s">
        <v>64</v>
      </c>
      <c r="C98" s="22" t="s">
        <v>106</v>
      </c>
      <c r="D98" t="s">
        <v>121</v>
      </c>
      <c r="E98" t="s">
        <v>121</v>
      </c>
      <c r="F98" t="s">
        <v>121</v>
      </c>
      <c r="G98" t="s">
        <v>141</v>
      </c>
      <c r="H98" t="s">
        <v>193</v>
      </c>
      <c r="I98" t="s">
        <v>202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 s="33">
        <f t="shared" si="4"/>
        <v>0</v>
      </c>
      <c r="W98" s="33">
        <f t="shared" si="5"/>
        <v>0</v>
      </c>
    </row>
    <row r="99" spans="1:23" x14ac:dyDescent="0.2">
      <c r="A99">
        <v>98</v>
      </c>
      <c r="B99" s="21" t="s">
        <v>74</v>
      </c>
      <c r="C99" s="22" t="s">
        <v>106</v>
      </c>
      <c r="D99" t="s">
        <v>121</v>
      </c>
      <c r="E99" t="s">
        <v>121</v>
      </c>
      <c r="F99" t="s">
        <v>121</v>
      </c>
      <c r="G99" t="s">
        <v>144</v>
      </c>
      <c r="H99" t="s">
        <v>193</v>
      </c>
      <c r="I99" t="s">
        <v>202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 s="33">
        <f t="shared" ref="V99:V125" si="6">SUM(J99,L99,N99,P99,R99,T99)</f>
        <v>0</v>
      </c>
      <c r="W99" s="33">
        <f t="shared" ref="W99:W125" si="7">SUM(K99,M99,O99,Q99,S99,U99)</f>
        <v>0</v>
      </c>
    </row>
    <row r="100" spans="1:23" x14ac:dyDescent="0.2">
      <c r="A100">
        <v>99</v>
      </c>
      <c r="B100" s="21" t="s">
        <v>61</v>
      </c>
      <c r="C100" s="22" t="s">
        <v>106</v>
      </c>
      <c r="D100" t="s">
        <v>121</v>
      </c>
      <c r="E100" t="s">
        <v>121</v>
      </c>
      <c r="F100" t="s">
        <v>121</v>
      </c>
      <c r="G100" t="s">
        <v>144</v>
      </c>
      <c r="H100" t="s">
        <v>193</v>
      </c>
      <c r="I100" t="s">
        <v>202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 s="33">
        <f t="shared" si="6"/>
        <v>0</v>
      </c>
      <c r="W100" s="33">
        <f t="shared" si="7"/>
        <v>0</v>
      </c>
    </row>
    <row r="101" spans="1:23" x14ac:dyDescent="0.2">
      <c r="A101">
        <v>100</v>
      </c>
      <c r="B101" s="21" t="s">
        <v>75</v>
      </c>
      <c r="C101" s="22" t="s">
        <v>106</v>
      </c>
      <c r="D101" t="s">
        <v>121</v>
      </c>
      <c r="E101" t="s">
        <v>121</v>
      </c>
      <c r="F101" t="s">
        <v>121</v>
      </c>
      <c r="G101" t="s">
        <v>144</v>
      </c>
      <c r="H101" t="s">
        <v>193</v>
      </c>
      <c r="I101" t="s">
        <v>201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1</v>
      </c>
      <c r="T101">
        <v>0</v>
      </c>
      <c r="U101">
        <v>1</v>
      </c>
      <c r="V101" s="33">
        <f t="shared" si="6"/>
        <v>0</v>
      </c>
      <c r="W101" s="33">
        <f t="shared" si="7"/>
        <v>4</v>
      </c>
    </row>
    <row r="102" spans="1:23" x14ac:dyDescent="0.2">
      <c r="A102">
        <v>101</v>
      </c>
      <c r="B102" s="21" t="s">
        <v>62</v>
      </c>
      <c r="C102" s="22" t="s">
        <v>106</v>
      </c>
      <c r="D102" t="s">
        <v>121</v>
      </c>
      <c r="E102" t="s">
        <v>121</v>
      </c>
      <c r="F102" t="s">
        <v>121</v>
      </c>
      <c r="G102" t="s">
        <v>144</v>
      </c>
      <c r="H102" t="s">
        <v>193</v>
      </c>
      <c r="I102" t="s">
        <v>202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 s="33">
        <f t="shared" si="6"/>
        <v>0</v>
      </c>
      <c r="W102" s="33">
        <f t="shared" si="7"/>
        <v>0</v>
      </c>
    </row>
    <row r="103" spans="1:23" x14ac:dyDescent="0.2">
      <c r="A103">
        <v>102</v>
      </c>
      <c r="B103" s="21" t="s">
        <v>58</v>
      </c>
      <c r="C103" s="22" t="s">
        <v>106</v>
      </c>
      <c r="D103" t="s">
        <v>121</v>
      </c>
      <c r="E103" t="s">
        <v>121</v>
      </c>
      <c r="F103" t="s">
        <v>121</v>
      </c>
      <c r="G103" t="s">
        <v>144</v>
      </c>
      <c r="H103" t="s">
        <v>192</v>
      </c>
      <c r="I103" t="s">
        <v>202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 s="33">
        <f t="shared" si="6"/>
        <v>0</v>
      </c>
      <c r="W103" s="33">
        <f t="shared" si="7"/>
        <v>0</v>
      </c>
    </row>
    <row r="104" spans="1:23" x14ac:dyDescent="0.2">
      <c r="A104">
        <v>103</v>
      </c>
      <c r="B104" s="21" t="s">
        <v>129</v>
      </c>
      <c r="C104" s="22" t="s">
        <v>106</v>
      </c>
      <c r="D104" t="s">
        <v>121</v>
      </c>
      <c r="E104" t="s">
        <v>121</v>
      </c>
      <c r="F104" t="s">
        <v>121</v>
      </c>
      <c r="G104" t="s">
        <v>144</v>
      </c>
      <c r="H104" t="s">
        <v>193</v>
      </c>
      <c r="I104" t="s">
        <v>202</v>
      </c>
      <c r="J104">
        <v>0</v>
      </c>
      <c r="K104">
        <v>0</v>
      </c>
      <c r="L104">
        <v>1</v>
      </c>
      <c r="M104">
        <v>0</v>
      </c>
      <c r="N104">
        <v>1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 s="33">
        <f t="shared" si="6"/>
        <v>3</v>
      </c>
      <c r="W104" s="33">
        <f t="shared" si="7"/>
        <v>0</v>
      </c>
    </row>
    <row r="105" spans="1:23" x14ac:dyDescent="0.2">
      <c r="A105">
        <v>104</v>
      </c>
      <c r="B105" s="21" t="s">
        <v>59</v>
      </c>
      <c r="C105" s="22" t="s">
        <v>106</v>
      </c>
      <c r="D105" t="s">
        <v>121</v>
      </c>
      <c r="E105" t="s">
        <v>121</v>
      </c>
      <c r="F105" t="s">
        <v>121</v>
      </c>
      <c r="G105" t="s">
        <v>144</v>
      </c>
      <c r="H105" t="s">
        <v>193</v>
      </c>
      <c r="I105" t="s">
        <v>202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s="33">
        <f t="shared" si="6"/>
        <v>0</v>
      </c>
      <c r="W105" s="33">
        <f t="shared" si="7"/>
        <v>0</v>
      </c>
    </row>
    <row r="106" spans="1:23" x14ac:dyDescent="0.2">
      <c r="A106">
        <v>105</v>
      </c>
      <c r="B106" s="21" t="s">
        <v>60</v>
      </c>
      <c r="C106" s="22" t="s">
        <v>106</v>
      </c>
      <c r="D106" t="s">
        <v>121</v>
      </c>
      <c r="E106" t="s">
        <v>121</v>
      </c>
      <c r="F106" t="s">
        <v>121</v>
      </c>
      <c r="G106" t="s">
        <v>144</v>
      </c>
      <c r="H106" t="s">
        <v>193</v>
      </c>
      <c r="I106" t="s">
        <v>202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0</v>
      </c>
      <c r="U106">
        <v>0</v>
      </c>
      <c r="V106" s="33">
        <f t="shared" si="6"/>
        <v>1</v>
      </c>
      <c r="W106" s="33">
        <f t="shared" si="7"/>
        <v>0</v>
      </c>
    </row>
    <row r="107" spans="1:23" x14ac:dyDescent="0.2">
      <c r="A107">
        <v>106</v>
      </c>
      <c r="B107" s="21" t="s">
        <v>53</v>
      </c>
      <c r="C107" s="22" t="s">
        <v>106</v>
      </c>
      <c r="D107" t="s">
        <v>121</v>
      </c>
      <c r="E107" t="s">
        <v>121</v>
      </c>
      <c r="F107" t="s">
        <v>121</v>
      </c>
      <c r="G107" t="s">
        <v>144</v>
      </c>
      <c r="H107" t="s">
        <v>193</v>
      </c>
      <c r="I107" t="s">
        <v>201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 s="33">
        <f t="shared" si="6"/>
        <v>0</v>
      </c>
      <c r="W107" s="33">
        <f t="shared" si="7"/>
        <v>0</v>
      </c>
    </row>
    <row r="108" spans="1:23" x14ac:dyDescent="0.2">
      <c r="A108">
        <v>107</v>
      </c>
      <c r="B108" s="21" t="s">
        <v>65</v>
      </c>
      <c r="C108" s="22" t="s">
        <v>106</v>
      </c>
      <c r="D108" t="s">
        <v>121</v>
      </c>
      <c r="E108" t="s">
        <v>121</v>
      </c>
      <c r="F108" t="s">
        <v>121</v>
      </c>
      <c r="G108" t="s">
        <v>144</v>
      </c>
      <c r="H108" t="s">
        <v>193</v>
      </c>
      <c r="I108" t="s">
        <v>201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 s="33">
        <f t="shared" si="6"/>
        <v>0</v>
      </c>
      <c r="W108" s="33">
        <f t="shared" si="7"/>
        <v>0</v>
      </c>
    </row>
    <row r="109" spans="1:23" x14ac:dyDescent="0.2">
      <c r="A109">
        <v>108</v>
      </c>
      <c r="B109" s="21" t="s">
        <v>66</v>
      </c>
      <c r="C109" s="22" t="s">
        <v>106</v>
      </c>
      <c r="D109" t="s">
        <v>121</v>
      </c>
      <c r="E109" t="s">
        <v>121</v>
      </c>
      <c r="F109" t="s">
        <v>121</v>
      </c>
      <c r="G109" t="s">
        <v>144</v>
      </c>
      <c r="H109" t="s">
        <v>193</v>
      </c>
      <c r="I109" t="s">
        <v>202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1</v>
      </c>
      <c r="Q109">
        <v>1</v>
      </c>
      <c r="R109">
        <v>1</v>
      </c>
      <c r="S109">
        <v>0</v>
      </c>
      <c r="T109">
        <v>0</v>
      </c>
      <c r="U109">
        <v>1</v>
      </c>
      <c r="V109" s="33">
        <f t="shared" si="6"/>
        <v>2</v>
      </c>
      <c r="W109" s="33">
        <f t="shared" si="7"/>
        <v>3</v>
      </c>
    </row>
    <row r="110" spans="1:23" x14ac:dyDescent="0.2">
      <c r="A110">
        <v>109</v>
      </c>
      <c r="B110" s="21" t="s">
        <v>67</v>
      </c>
      <c r="C110" s="22" t="s">
        <v>106</v>
      </c>
      <c r="D110" t="s">
        <v>121</v>
      </c>
      <c r="E110" t="s">
        <v>121</v>
      </c>
      <c r="F110" t="s">
        <v>121</v>
      </c>
      <c r="G110" t="s">
        <v>144</v>
      </c>
      <c r="H110" t="s">
        <v>193</v>
      </c>
      <c r="I110" t="s">
        <v>202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 s="33">
        <f t="shared" si="6"/>
        <v>0</v>
      </c>
      <c r="W110" s="33">
        <f t="shared" si="7"/>
        <v>1</v>
      </c>
    </row>
    <row r="111" spans="1:23" x14ac:dyDescent="0.2">
      <c r="A111">
        <v>110</v>
      </c>
      <c r="B111" s="21" t="s">
        <v>68</v>
      </c>
      <c r="C111" s="22" t="s">
        <v>106</v>
      </c>
      <c r="D111" t="s">
        <v>121</v>
      </c>
      <c r="E111" t="s">
        <v>121</v>
      </c>
      <c r="F111" t="s">
        <v>121</v>
      </c>
      <c r="G111" t="s">
        <v>144</v>
      </c>
      <c r="H111" t="s">
        <v>193</v>
      </c>
      <c r="I111" t="s">
        <v>202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 s="33">
        <f t="shared" si="6"/>
        <v>0</v>
      </c>
      <c r="W111" s="33">
        <f t="shared" si="7"/>
        <v>0</v>
      </c>
    </row>
    <row r="112" spans="1:23" x14ac:dyDescent="0.2">
      <c r="A112">
        <v>111</v>
      </c>
      <c r="B112" s="21" t="s">
        <v>69</v>
      </c>
      <c r="C112" s="22" t="s">
        <v>106</v>
      </c>
      <c r="D112" t="s">
        <v>121</v>
      </c>
      <c r="E112" t="s">
        <v>121</v>
      </c>
      <c r="F112" t="s">
        <v>121</v>
      </c>
      <c r="G112" t="s">
        <v>144</v>
      </c>
      <c r="H112" t="s">
        <v>193</v>
      </c>
      <c r="I112" t="s">
        <v>202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 s="33">
        <f t="shared" si="6"/>
        <v>0</v>
      </c>
      <c r="W112" s="33">
        <f t="shared" si="7"/>
        <v>1</v>
      </c>
    </row>
    <row r="113" spans="1:23" x14ac:dyDescent="0.2">
      <c r="A113">
        <v>112</v>
      </c>
      <c r="B113" s="21" t="s">
        <v>133</v>
      </c>
      <c r="C113" s="22" t="s">
        <v>106</v>
      </c>
      <c r="D113" t="s">
        <v>121</v>
      </c>
      <c r="E113" t="s">
        <v>121</v>
      </c>
      <c r="F113" t="s">
        <v>121</v>
      </c>
      <c r="G113" t="s">
        <v>144</v>
      </c>
      <c r="H113" t="s">
        <v>193</v>
      </c>
      <c r="I113" t="s">
        <v>202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 s="33">
        <f t="shared" si="6"/>
        <v>0</v>
      </c>
      <c r="W113" s="33">
        <f t="shared" si="7"/>
        <v>0</v>
      </c>
    </row>
    <row r="114" spans="1:23" x14ac:dyDescent="0.2">
      <c r="A114">
        <v>113</v>
      </c>
      <c r="B114" s="21" t="s">
        <v>134</v>
      </c>
      <c r="C114" s="22" t="s">
        <v>106</v>
      </c>
      <c r="D114" t="s">
        <v>121</v>
      </c>
      <c r="E114" t="s">
        <v>121</v>
      </c>
      <c r="F114" t="s">
        <v>196</v>
      </c>
      <c r="G114" t="s">
        <v>144</v>
      </c>
      <c r="H114" t="s">
        <v>193</v>
      </c>
      <c r="I114" t="s">
        <v>202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1</v>
      </c>
      <c r="U114">
        <v>0</v>
      </c>
      <c r="V114" s="33">
        <f t="shared" si="6"/>
        <v>2</v>
      </c>
      <c r="W114" s="33">
        <f t="shared" si="7"/>
        <v>1</v>
      </c>
    </row>
    <row r="115" spans="1:23" x14ac:dyDescent="0.2">
      <c r="A115">
        <v>114</v>
      </c>
      <c r="B115" s="21" t="s">
        <v>70</v>
      </c>
      <c r="C115" s="22" t="s">
        <v>106</v>
      </c>
      <c r="D115" t="s">
        <v>121</v>
      </c>
      <c r="E115" t="s">
        <v>121</v>
      </c>
      <c r="F115" t="s">
        <v>121</v>
      </c>
      <c r="G115" t="s">
        <v>144</v>
      </c>
      <c r="H115" t="s">
        <v>193</v>
      </c>
      <c r="I115" t="s">
        <v>202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 s="33">
        <f t="shared" si="6"/>
        <v>0</v>
      </c>
      <c r="W115" s="33">
        <f t="shared" si="7"/>
        <v>0</v>
      </c>
    </row>
    <row r="116" spans="1:23" x14ac:dyDescent="0.2">
      <c r="A116">
        <v>115</v>
      </c>
      <c r="B116" s="21" t="s">
        <v>71</v>
      </c>
      <c r="C116" s="22" t="s">
        <v>106</v>
      </c>
      <c r="D116" t="s">
        <v>121</v>
      </c>
      <c r="E116" t="s">
        <v>121</v>
      </c>
      <c r="F116" t="s">
        <v>121</v>
      </c>
      <c r="G116" t="s">
        <v>144</v>
      </c>
      <c r="H116" t="s">
        <v>193</v>
      </c>
      <c r="I116" t="s">
        <v>202</v>
      </c>
      <c r="J116">
        <v>0</v>
      </c>
      <c r="K116">
        <v>0</v>
      </c>
      <c r="L116">
        <v>0</v>
      </c>
      <c r="M116">
        <v>0</v>
      </c>
      <c r="N116">
        <v>1</v>
      </c>
      <c r="O116">
        <v>0</v>
      </c>
      <c r="P116">
        <v>1</v>
      </c>
      <c r="Q116">
        <v>0</v>
      </c>
      <c r="R116">
        <v>1</v>
      </c>
      <c r="S116">
        <v>1</v>
      </c>
      <c r="T116">
        <v>1</v>
      </c>
      <c r="U116">
        <v>1</v>
      </c>
      <c r="V116" s="33">
        <f t="shared" si="6"/>
        <v>4</v>
      </c>
      <c r="W116" s="33">
        <f t="shared" si="7"/>
        <v>2</v>
      </c>
    </row>
    <row r="117" spans="1:23" x14ac:dyDescent="0.2">
      <c r="A117">
        <v>116</v>
      </c>
      <c r="B117" s="21" t="s">
        <v>131</v>
      </c>
      <c r="C117" s="22" t="s">
        <v>106</v>
      </c>
      <c r="D117" t="s">
        <v>121</v>
      </c>
      <c r="E117" t="s">
        <v>121</v>
      </c>
      <c r="F117" t="s">
        <v>196</v>
      </c>
      <c r="G117" t="s">
        <v>144</v>
      </c>
      <c r="H117" t="s">
        <v>193</v>
      </c>
      <c r="I117" t="s">
        <v>202</v>
      </c>
      <c r="J117">
        <v>0</v>
      </c>
      <c r="K117">
        <v>0</v>
      </c>
      <c r="L117">
        <v>0</v>
      </c>
      <c r="M117">
        <v>0</v>
      </c>
      <c r="N117">
        <v>1</v>
      </c>
      <c r="O117">
        <v>1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0</v>
      </c>
      <c r="V117" s="33">
        <f t="shared" si="6"/>
        <v>2</v>
      </c>
      <c r="W117" s="33">
        <f t="shared" si="7"/>
        <v>2</v>
      </c>
    </row>
    <row r="118" spans="1:23" x14ac:dyDescent="0.2">
      <c r="A118">
        <v>117</v>
      </c>
      <c r="B118" s="21" t="s">
        <v>72</v>
      </c>
      <c r="C118" s="22" t="s">
        <v>106</v>
      </c>
      <c r="D118" t="s">
        <v>121</v>
      </c>
      <c r="E118" t="s">
        <v>121</v>
      </c>
      <c r="F118" t="s">
        <v>121</v>
      </c>
      <c r="G118" t="s">
        <v>144</v>
      </c>
      <c r="H118" t="s">
        <v>192</v>
      </c>
      <c r="I118" t="s">
        <v>202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 s="33">
        <f t="shared" si="6"/>
        <v>0</v>
      </c>
      <c r="W118" s="33">
        <f t="shared" si="7"/>
        <v>0</v>
      </c>
    </row>
    <row r="119" spans="1:23" x14ac:dyDescent="0.2">
      <c r="A119">
        <v>118</v>
      </c>
      <c r="B119" s="21" t="s">
        <v>195</v>
      </c>
      <c r="C119" s="22" t="s">
        <v>106</v>
      </c>
      <c r="D119" t="s">
        <v>121</v>
      </c>
      <c r="E119" t="s">
        <v>121</v>
      </c>
      <c r="F119" t="s">
        <v>121</v>
      </c>
      <c r="G119" t="s">
        <v>144</v>
      </c>
      <c r="H119" t="s">
        <v>193</v>
      </c>
      <c r="I119" t="s">
        <v>202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 s="33">
        <f t="shared" si="6"/>
        <v>1</v>
      </c>
      <c r="W119" s="33">
        <f t="shared" si="7"/>
        <v>0</v>
      </c>
    </row>
    <row r="120" spans="1:23" x14ac:dyDescent="0.2">
      <c r="A120">
        <v>119</v>
      </c>
      <c r="B120" s="30" t="s">
        <v>181</v>
      </c>
      <c r="C120" s="31" t="s">
        <v>186</v>
      </c>
      <c r="D120" t="s">
        <v>121</v>
      </c>
      <c r="E120" t="s">
        <v>121</v>
      </c>
      <c r="F120" t="s">
        <v>121</v>
      </c>
      <c r="G120" t="s">
        <v>121</v>
      </c>
      <c r="H120" t="s">
        <v>192</v>
      </c>
      <c r="I120" t="s">
        <v>201</v>
      </c>
      <c r="J120" t="s">
        <v>121</v>
      </c>
      <c r="K120" t="s">
        <v>121</v>
      </c>
      <c r="L120" t="s">
        <v>121</v>
      </c>
      <c r="M120" t="s">
        <v>121</v>
      </c>
      <c r="N120" t="s">
        <v>121</v>
      </c>
      <c r="O120" t="s">
        <v>121</v>
      </c>
      <c r="P120" t="s">
        <v>121</v>
      </c>
      <c r="Q120" t="s">
        <v>121</v>
      </c>
      <c r="R120" t="s">
        <v>121</v>
      </c>
      <c r="S120" t="s">
        <v>121</v>
      </c>
      <c r="T120" t="s">
        <v>121</v>
      </c>
      <c r="U120" t="s">
        <v>121</v>
      </c>
      <c r="V120" s="33">
        <f t="shared" si="6"/>
        <v>0</v>
      </c>
      <c r="W120" s="33">
        <f t="shared" si="7"/>
        <v>0</v>
      </c>
    </row>
    <row r="121" spans="1:23" x14ac:dyDescent="0.2">
      <c r="A121">
        <v>120</v>
      </c>
      <c r="B121" s="30" t="s">
        <v>182</v>
      </c>
      <c r="C121" s="31" t="s">
        <v>186</v>
      </c>
      <c r="D121" t="s">
        <v>121</v>
      </c>
      <c r="E121" t="s">
        <v>121</v>
      </c>
      <c r="F121" t="s">
        <v>121</v>
      </c>
      <c r="G121" t="s">
        <v>121</v>
      </c>
      <c r="H121" t="s">
        <v>192</v>
      </c>
      <c r="I121" t="s">
        <v>201</v>
      </c>
      <c r="J121" t="s">
        <v>121</v>
      </c>
      <c r="K121" t="s">
        <v>121</v>
      </c>
      <c r="L121" t="s">
        <v>121</v>
      </c>
      <c r="M121" t="s">
        <v>121</v>
      </c>
      <c r="N121" t="s">
        <v>121</v>
      </c>
      <c r="O121" t="s">
        <v>121</v>
      </c>
      <c r="P121" t="s">
        <v>121</v>
      </c>
      <c r="Q121" t="s">
        <v>121</v>
      </c>
      <c r="R121" t="s">
        <v>121</v>
      </c>
      <c r="S121" t="s">
        <v>121</v>
      </c>
      <c r="T121" t="s">
        <v>121</v>
      </c>
      <c r="U121" t="s">
        <v>121</v>
      </c>
      <c r="V121" s="33">
        <f t="shared" si="6"/>
        <v>0</v>
      </c>
      <c r="W121" s="33">
        <f t="shared" si="7"/>
        <v>0</v>
      </c>
    </row>
    <row r="122" spans="1:23" x14ac:dyDescent="0.2">
      <c r="A122">
        <v>121</v>
      </c>
      <c r="B122" s="30" t="s">
        <v>183</v>
      </c>
      <c r="C122" s="31" t="s">
        <v>186</v>
      </c>
      <c r="D122" t="s">
        <v>121</v>
      </c>
      <c r="E122" t="s">
        <v>121</v>
      </c>
      <c r="F122" t="s">
        <v>121</v>
      </c>
      <c r="G122" t="s">
        <v>121</v>
      </c>
      <c r="H122" t="s">
        <v>192</v>
      </c>
      <c r="I122" t="s">
        <v>201</v>
      </c>
      <c r="J122" t="s">
        <v>121</v>
      </c>
      <c r="K122" t="s">
        <v>121</v>
      </c>
      <c r="L122" t="s">
        <v>121</v>
      </c>
      <c r="M122" t="s">
        <v>121</v>
      </c>
      <c r="N122" t="s">
        <v>121</v>
      </c>
      <c r="O122" t="s">
        <v>121</v>
      </c>
      <c r="P122" t="s">
        <v>121</v>
      </c>
      <c r="Q122" t="s">
        <v>121</v>
      </c>
      <c r="R122" t="s">
        <v>121</v>
      </c>
      <c r="S122" t="s">
        <v>121</v>
      </c>
      <c r="T122" t="s">
        <v>121</v>
      </c>
      <c r="U122" t="s">
        <v>121</v>
      </c>
      <c r="V122" s="33">
        <f t="shared" si="6"/>
        <v>0</v>
      </c>
      <c r="W122" s="33">
        <f t="shared" si="7"/>
        <v>0</v>
      </c>
    </row>
    <row r="123" spans="1:23" x14ac:dyDescent="0.2">
      <c r="A123">
        <v>122</v>
      </c>
      <c r="B123" s="30" t="s">
        <v>184</v>
      </c>
      <c r="C123" s="31" t="s">
        <v>186</v>
      </c>
      <c r="D123" t="s">
        <v>121</v>
      </c>
      <c r="E123" t="s">
        <v>121</v>
      </c>
      <c r="F123" t="s">
        <v>121</v>
      </c>
      <c r="G123" t="s">
        <v>121</v>
      </c>
      <c r="H123" t="s">
        <v>192</v>
      </c>
      <c r="I123" t="s">
        <v>201</v>
      </c>
      <c r="J123" t="s">
        <v>121</v>
      </c>
      <c r="K123" t="s">
        <v>121</v>
      </c>
      <c r="L123" t="s">
        <v>121</v>
      </c>
      <c r="M123" t="s">
        <v>121</v>
      </c>
      <c r="N123" t="s">
        <v>121</v>
      </c>
      <c r="O123" t="s">
        <v>121</v>
      </c>
      <c r="P123" t="s">
        <v>121</v>
      </c>
      <c r="Q123" t="s">
        <v>121</v>
      </c>
      <c r="R123" t="s">
        <v>121</v>
      </c>
      <c r="S123" t="s">
        <v>121</v>
      </c>
      <c r="T123" t="s">
        <v>121</v>
      </c>
      <c r="U123" t="s">
        <v>121</v>
      </c>
      <c r="V123" s="33">
        <f t="shared" si="6"/>
        <v>0</v>
      </c>
      <c r="W123" s="33">
        <f t="shared" si="7"/>
        <v>0</v>
      </c>
    </row>
    <row r="124" spans="1:23" x14ac:dyDescent="0.2">
      <c r="A124">
        <v>123</v>
      </c>
      <c r="B124" s="30" t="s">
        <v>185</v>
      </c>
      <c r="C124" s="31" t="s">
        <v>186</v>
      </c>
      <c r="D124" t="s">
        <v>121</v>
      </c>
      <c r="E124" t="s">
        <v>121</v>
      </c>
      <c r="F124" t="s">
        <v>121</v>
      </c>
      <c r="G124" t="s">
        <v>121</v>
      </c>
      <c r="H124" t="s">
        <v>192</v>
      </c>
      <c r="I124" t="s">
        <v>201</v>
      </c>
      <c r="J124" t="s">
        <v>121</v>
      </c>
      <c r="K124" t="s">
        <v>121</v>
      </c>
      <c r="L124" t="s">
        <v>121</v>
      </c>
      <c r="M124" t="s">
        <v>121</v>
      </c>
      <c r="N124" t="s">
        <v>121</v>
      </c>
      <c r="O124" t="s">
        <v>121</v>
      </c>
      <c r="P124" t="s">
        <v>121</v>
      </c>
      <c r="Q124" t="s">
        <v>121</v>
      </c>
      <c r="R124" t="s">
        <v>121</v>
      </c>
      <c r="S124" t="s">
        <v>121</v>
      </c>
      <c r="T124" t="s">
        <v>121</v>
      </c>
      <c r="U124" t="s">
        <v>121</v>
      </c>
      <c r="V124" s="33">
        <f t="shared" si="6"/>
        <v>0</v>
      </c>
      <c r="W124" s="33">
        <f t="shared" si="7"/>
        <v>0</v>
      </c>
    </row>
    <row r="125" spans="1:23" x14ac:dyDescent="0.2">
      <c r="A125">
        <v>124</v>
      </c>
      <c r="B125" s="30" t="s">
        <v>187</v>
      </c>
      <c r="C125" s="31" t="s">
        <v>188</v>
      </c>
      <c r="D125" t="s">
        <v>121</v>
      </c>
      <c r="E125" t="s">
        <v>121</v>
      </c>
      <c r="F125" t="s">
        <v>121</v>
      </c>
      <c r="G125" t="s">
        <v>121</v>
      </c>
      <c r="H125" t="s">
        <v>192</v>
      </c>
      <c r="I125" t="s">
        <v>201</v>
      </c>
      <c r="J125" t="s">
        <v>121</v>
      </c>
      <c r="K125" t="s">
        <v>121</v>
      </c>
      <c r="L125" t="s">
        <v>121</v>
      </c>
      <c r="M125" t="s">
        <v>121</v>
      </c>
      <c r="N125" t="s">
        <v>121</v>
      </c>
      <c r="O125" t="s">
        <v>121</v>
      </c>
      <c r="P125" t="s">
        <v>121</v>
      </c>
      <c r="Q125" t="s">
        <v>121</v>
      </c>
      <c r="R125" t="s">
        <v>121</v>
      </c>
      <c r="S125" t="s">
        <v>121</v>
      </c>
      <c r="T125" t="s">
        <v>121</v>
      </c>
      <c r="U125" t="s">
        <v>121</v>
      </c>
      <c r="V125" s="33">
        <f t="shared" si="6"/>
        <v>0</v>
      </c>
      <c r="W125" s="33">
        <f t="shared" si="7"/>
        <v>0</v>
      </c>
    </row>
  </sheetData>
  <sortState xmlns:xlrd2="http://schemas.microsoft.com/office/spreadsheetml/2017/richdata2" ref="A2:X125">
    <sortCondition ref="A2:A1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E5990-33DF-A747-8B20-CD05A15FD2AD}">
  <dimension ref="A1:I13"/>
  <sheetViews>
    <sheetView tabSelected="1" zoomScale="150" zoomScaleNormal="150" workbookViewId="0">
      <selection activeCell="E20" sqref="E20"/>
    </sheetView>
  </sheetViews>
  <sheetFormatPr baseColWidth="10" defaultRowHeight="16" x14ac:dyDescent="0.2"/>
  <cols>
    <col min="1" max="1" width="23.5" bestFit="1" customWidth="1"/>
    <col min="2" max="2" width="8.6640625" bestFit="1" customWidth="1"/>
    <col min="3" max="3" width="5.1640625" bestFit="1" customWidth="1"/>
    <col min="4" max="4" width="23.5" customWidth="1"/>
    <col min="5" max="5" width="7.33203125" bestFit="1" customWidth="1"/>
    <col min="6" max="6" width="8.1640625" bestFit="1" customWidth="1"/>
    <col min="7" max="7" width="8" bestFit="1" customWidth="1"/>
    <col min="8" max="8" width="7.1640625" bestFit="1" customWidth="1"/>
    <col min="9" max="9" width="5.5" bestFit="1" customWidth="1"/>
  </cols>
  <sheetData>
    <row r="1" spans="1:9" s="28" customFormat="1" x14ac:dyDescent="0.2">
      <c r="A1" s="4" t="s">
        <v>145</v>
      </c>
      <c r="B1" s="4" t="s">
        <v>148</v>
      </c>
      <c r="C1" s="4" t="s">
        <v>149</v>
      </c>
      <c r="D1" s="4" t="s">
        <v>146</v>
      </c>
      <c r="E1" s="4" t="s">
        <v>147</v>
      </c>
      <c r="F1" s="29" t="s">
        <v>164</v>
      </c>
      <c r="G1" s="29" t="s">
        <v>165</v>
      </c>
      <c r="H1" s="29" t="s">
        <v>166</v>
      </c>
      <c r="I1" s="29" t="s">
        <v>167</v>
      </c>
    </row>
    <row r="2" spans="1:9" x14ac:dyDescent="0.2">
      <c r="A2" s="26" t="s">
        <v>119</v>
      </c>
      <c r="B2" s="26" t="s">
        <v>150</v>
      </c>
      <c r="C2" s="26">
        <v>2023</v>
      </c>
      <c r="D2" s="26" t="str">
        <f>LEFT(A2,LEN(A2)-2)</f>
        <v>bird_rock_2023-08-30_t1</v>
      </c>
      <c r="E2" s="26" t="s">
        <v>202</v>
      </c>
      <c r="F2">
        <v>1</v>
      </c>
      <c r="G2" t="s">
        <v>121</v>
      </c>
      <c r="H2" t="s">
        <v>121</v>
      </c>
      <c r="I2">
        <v>2</v>
      </c>
    </row>
    <row r="3" spans="1:9" x14ac:dyDescent="0.2">
      <c r="A3" s="26" t="s">
        <v>120</v>
      </c>
      <c r="B3" s="26" t="s">
        <v>150</v>
      </c>
      <c r="C3" s="26">
        <v>2023</v>
      </c>
      <c r="D3" s="26" t="str">
        <f t="shared" ref="D3:D13" si="0">LEFT(A3,LEN(A3)-2)</f>
        <v>bird_rock_2023-08-30_t1</v>
      </c>
      <c r="E3" s="26" t="s">
        <v>201</v>
      </c>
      <c r="F3">
        <v>1</v>
      </c>
      <c r="G3" t="s">
        <v>121</v>
      </c>
      <c r="H3" t="s">
        <v>121</v>
      </c>
      <c r="I3">
        <v>2</v>
      </c>
    </row>
    <row r="4" spans="1:9" x14ac:dyDescent="0.2">
      <c r="A4" s="27" t="s">
        <v>109</v>
      </c>
      <c r="B4" s="27" t="s">
        <v>151</v>
      </c>
      <c r="C4" s="26">
        <v>2023</v>
      </c>
      <c r="D4" s="26" t="str">
        <f t="shared" si="0"/>
        <v>hms100_2023-08-30_t1</v>
      </c>
      <c r="E4" s="26" t="s">
        <v>202</v>
      </c>
      <c r="F4">
        <v>1</v>
      </c>
      <c r="G4" t="s">
        <v>121</v>
      </c>
      <c r="H4" t="s">
        <v>121</v>
      </c>
      <c r="I4">
        <v>2</v>
      </c>
    </row>
    <row r="5" spans="1:9" x14ac:dyDescent="0.2">
      <c r="A5" s="27" t="s">
        <v>114</v>
      </c>
      <c r="B5" s="27" t="s">
        <v>151</v>
      </c>
      <c r="C5" s="26">
        <v>2023</v>
      </c>
      <c r="D5" s="26" t="str">
        <f t="shared" si="0"/>
        <v>hms100_2023-08-30_t1</v>
      </c>
      <c r="E5" s="26" t="s">
        <v>201</v>
      </c>
      <c r="F5">
        <v>1</v>
      </c>
      <c r="G5" t="s">
        <v>121</v>
      </c>
      <c r="H5" t="s">
        <v>121</v>
      </c>
      <c r="I5">
        <v>2</v>
      </c>
    </row>
    <row r="6" spans="1:9" x14ac:dyDescent="0.2">
      <c r="A6" s="27" t="s">
        <v>110</v>
      </c>
      <c r="B6" s="26" t="s">
        <v>150</v>
      </c>
      <c r="C6" s="26">
        <v>2024</v>
      </c>
      <c r="D6" s="26" t="str">
        <f t="shared" si="0"/>
        <v>bird_rock_2024-08-23_t1</v>
      </c>
      <c r="E6" s="26" t="s">
        <v>202</v>
      </c>
      <c r="F6">
        <v>1</v>
      </c>
      <c r="G6" t="s">
        <v>121</v>
      </c>
      <c r="H6" t="s">
        <v>121</v>
      </c>
      <c r="I6" t="s">
        <v>121</v>
      </c>
    </row>
    <row r="7" spans="1:9" x14ac:dyDescent="0.2">
      <c r="A7" s="27" t="s">
        <v>115</v>
      </c>
      <c r="B7" s="26" t="s">
        <v>150</v>
      </c>
      <c r="C7" s="26">
        <v>2024</v>
      </c>
      <c r="D7" s="26" t="str">
        <f t="shared" si="0"/>
        <v>bird_rock_2024-08-23_t1</v>
      </c>
      <c r="E7" s="26" t="s">
        <v>201</v>
      </c>
      <c r="F7">
        <v>1</v>
      </c>
      <c r="G7" t="s">
        <v>121</v>
      </c>
      <c r="H7" t="s">
        <v>121</v>
      </c>
      <c r="I7" t="s">
        <v>121</v>
      </c>
    </row>
    <row r="8" spans="1:9" x14ac:dyDescent="0.2">
      <c r="A8" s="27" t="s">
        <v>111</v>
      </c>
      <c r="B8" s="27" t="s">
        <v>151</v>
      </c>
      <c r="C8" s="26">
        <v>2024</v>
      </c>
      <c r="D8" s="26" t="str">
        <f t="shared" si="0"/>
        <v>hms090_2024-08-23_t1</v>
      </c>
      <c r="E8" s="26" t="s">
        <v>202</v>
      </c>
      <c r="F8">
        <v>1</v>
      </c>
      <c r="G8" t="s">
        <v>121</v>
      </c>
      <c r="H8" t="s">
        <v>121</v>
      </c>
      <c r="I8" t="s">
        <v>121</v>
      </c>
    </row>
    <row r="9" spans="1:9" x14ac:dyDescent="0.2">
      <c r="A9" s="27" t="s">
        <v>116</v>
      </c>
      <c r="B9" s="27" t="s">
        <v>151</v>
      </c>
      <c r="C9" s="26">
        <v>2024</v>
      </c>
      <c r="D9" s="26" t="str">
        <f t="shared" si="0"/>
        <v>hms090_2024-08-23_t1</v>
      </c>
      <c r="E9" s="26" t="s">
        <v>201</v>
      </c>
      <c r="F9">
        <v>1</v>
      </c>
      <c r="G9" t="s">
        <v>121</v>
      </c>
      <c r="H9" t="s">
        <v>121</v>
      </c>
      <c r="I9" t="s">
        <v>121</v>
      </c>
    </row>
    <row r="10" spans="1:9" x14ac:dyDescent="0.2">
      <c r="A10" s="27" t="s">
        <v>112</v>
      </c>
      <c r="B10" s="26" t="s">
        <v>150</v>
      </c>
      <c r="C10" s="26">
        <v>2025</v>
      </c>
      <c r="D10" s="26" t="str">
        <f t="shared" si="0"/>
        <v>bird_rock_2025-09-11_t1</v>
      </c>
      <c r="E10" s="26" t="s">
        <v>202</v>
      </c>
      <c r="F10">
        <v>1</v>
      </c>
      <c r="G10" t="s">
        <v>121</v>
      </c>
      <c r="H10" t="s">
        <v>121</v>
      </c>
      <c r="I10" t="s">
        <v>121</v>
      </c>
    </row>
    <row r="11" spans="1:9" x14ac:dyDescent="0.2">
      <c r="A11" s="27" t="s">
        <v>117</v>
      </c>
      <c r="B11" s="26" t="s">
        <v>150</v>
      </c>
      <c r="C11" s="26">
        <v>2025</v>
      </c>
      <c r="D11" s="26" t="str">
        <f t="shared" si="0"/>
        <v>bird_rock_2025-09-11_t1</v>
      </c>
      <c r="E11" s="26" t="s">
        <v>201</v>
      </c>
      <c r="F11">
        <v>1</v>
      </c>
      <c r="G11" t="s">
        <v>121</v>
      </c>
      <c r="H11" t="s">
        <v>121</v>
      </c>
      <c r="I11" t="s">
        <v>121</v>
      </c>
    </row>
    <row r="12" spans="1:9" x14ac:dyDescent="0.2">
      <c r="A12" s="27" t="s">
        <v>113</v>
      </c>
      <c r="B12" s="27" t="s">
        <v>151</v>
      </c>
      <c r="C12" s="26">
        <v>2025</v>
      </c>
      <c r="D12" s="26" t="str">
        <f t="shared" si="0"/>
        <v>hms110_2025-09-11_t1</v>
      </c>
      <c r="E12" s="26" t="s">
        <v>202</v>
      </c>
      <c r="F12">
        <v>1</v>
      </c>
      <c r="G12" t="s">
        <v>121</v>
      </c>
      <c r="H12" t="s">
        <v>121</v>
      </c>
      <c r="I12" t="s">
        <v>121</v>
      </c>
    </row>
    <row r="13" spans="1:9" x14ac:dyDescent="0.2">
      <c r="A13" s="27" t="s">
        <v>118</v>
      </c>
      <c r="B13" s="27" t="s">
        <v>151</v>
      </c>
      <c r="C13" s="26">
        <v>2025</v>
      </c>
      <c r="D13" s="26" t="str">
        <f t="shared" si="0"/>
        <v>hms110_2025-09-11_t1</v>
      </c>
      <c r="E13" s="26" t="s">
        <v>201</v>
      </c>
      <c r="F13">
        <v>1</v>
      </c>
      <c r="G13" t="s">
        <v>121</v>
      </c>
      <c r="H13" t="s">
        <v>121</v>
      </c>
      <c r="I1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species_data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Elahi</dc:creator>
  <cp:lastModifiedBy>Robin Elahi</cp:lastModifiedBy>
  <dcterms:created xsi:type="dcterms:W3CDTF">2025-12-31T23:32:41Z</dcterms:created>
  <dcterms:modified xsi:type="dcterms:W3CDTF">2026-05-26T23:52:04Z</dcterms:modified>
</cp:coreProperties>
</file>